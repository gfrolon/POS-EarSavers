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tables/table1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riana.flores\Documents\POS\"/>
    </mc:Choice>
  </mc:AlternateContent>
  <xr:revisionPtr revIDLastSave="0" documentId="13_ncr:1_{A30DE2C9-2446-420A-8A9C-C1679189B9DE}" xr6:coauthVersionLast="45" xr6:coauthVersionMax="45" xr10:uidLastSave="{00000000-0000-0000-0000-000000000000}"/>
  <bookViews>
    <workbookView xWindow="-120" yWindow="-120" windowWidth="20730" windowHeight="11160" tabRatio="758" xr2:uid="{845D6177-EBE3-4314-A67F-D8FFC711FA44}"/>
  </bookViews>
  <sheets>
    <sheet name="Ventas" sheetId="1" r:id="rId1"/>
    <sheet name="Clientas" sheetId="5" r:id="rId2"/>
    <sheet name="EstadisticasClientas" sheetId="12" r:id="rId3"/>
    <sheet name="EstadisticasColores-x-Cliente" sheetId="13" r:id="rId4"/>
    <sheet name="Gastos-Compras" sheetId="11" r:id="rId5"/>
    <sheet name="Sex" sheetId="9" r:id="rId6"/>
    <sheet name="Costura" sheetId="2" r:id="rId7"/>
    <sheet name="Colores" sheetId="3" r:id="rId8"/>
    <sheet name="GraphicTest" sheetId="8" r:id="rId9"/>
    <sheet name="Ingresos-Gastos" sheetId="10" r:id="rId10"/>
    <sheet name="Precios" sheetId="4" r:id="rId11"/>
    <sheet name="Pueblos" sheetId="6" r:id="rId12"/>
    <sheet name="Si-no" sheetId="7" r:id="rId13"/>
  </sheets>
  <definedNames>
    <definedName name="CantidadVenta">tVentas[Cantidad]</definedName>
    <definedName name="PrecioVenta">tVentas[Precio]</definedName>
    <definedName name="rngBol">tblBol[Bol]</definedName>
    <definedName name="rngCantidadVentas">tVentas[Cantidad]</definedName>
    <definedName name="rngColor">tcolores[Color]</definedName>
    <definedName name="rngColorVentas">tVentas[Color]</definedName>
    <definedName name="rngCostura">tcostura[TipoCostura]</definedName>
    <definedName name="rngEntregado">tVentas[Entregado]</definedName>
    <definedName name="rngNameClient">tclientes[Nombre]</definedName>
    <definedName name="rngPrecio">tprecios[Precio]</definedName>
    <definedName name="rngPueblo">tPueblos[Pueblo]</definedName>
    <definedName name="rngSex">tSex[Sex]</definedName>
    <definedName name="rngTerminada">tVentas[Terminado]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16" i="1" l="1" a="1"/>
  <c r="J116" i="1" s="1"/>
  <c r="L25" i="11" a="1"/>
  <c r="L25" i="11" s="1"/>
  <c r="D116" i="1" a="1"/>
  <c r="D116" i="1" s="1"/>
  <c r="C116" i="1" a="1"/>
  <c r="C116" i="1" s="1"/>
  <c r="A112" i="1"/>
  <c r="E112" i="1"/>
  <c r="G112" i="1"/>
  <c r="I112" i="1"/>
  <c r="L112" i="1"/>
  <c r="M112" i="1"/>
  <c r="A111" i="1"/>
  <c r="E111" i="1"/>
  <c r="G111" i="1"/>
  <c r="I111" i="1"/>
  <c r="L111" i="1"/>
  <c r="M111" i="1"/>
  <c r="A110" i="1"/>
  <c r="E110" i="1"/>
  <c r="I110" i="1"/>
  <c r="L110" i="1"/>
  <c r="M110" i="1"/>
  <c r="A109" i="1"/>
  <c r="E109" i="1"/>
  <c r="I109" i="1"/>
  <c r="L109" i="1"/>
  <c r="M109" i="1"/>
  <c r="A108" i="1"/>
  <c r="E108" i="1"/>
  <c r="G108" i="1"/>
  <c r="I108" i="1"/>
  <c r="L108" i="1"/>
  <c r="M108" i="1"/>
  <c r="B21" i="3" l="1"/>
  <c r="A107" i="1"/>
  <c r="E107" i="1"/>
  <c r="I107" i="1"/>
  <c r="L107" i="1"/>
  <c r="M107" i="1"/>
  <c r="A106" i="1"/>
  <c r="E106" i="1"/>
  <c r="G106" i="1"/>
  <c r="I106" i="1"/>
  <c r="L106" i="1"/>
  <c r="M106" i="1"/>
  <c r="B20" i="3"/>
  <c r="A105" i="1"/>
  <c r="E105" i="1"/>
  <c r="G105" i="1"/>
  <c r="I105" i="1"/>
  <c r="A104" i="1" l="1"/>
  <c r="E104" i="1"/>
  <c r="I104" i="1"/>
  <c r="A103" i="1"/>
  <c r="E103" i="1"/>
  <c r="G103" i="1"/>
  <c r="I103" i="1"/>
  <c r="L103" i="1"/>
  <c r="M103" i="1"/>
  <c r="A102" i="1"/>
  <c r="E102" i="1"/>
  <c r="G102" i="1"/>
  <c r="I102" i="1"/>
  <c r="A101" i="1"/>
  <c r="E101" i="1"/>
  <c r="G101" i="1"/>
  <c r="I101" i="1"/>
  <c r="L101" i="1"/>
  <c r="M101" i="1"/>
  <c r="A100" i="1"/>
  <c r="E100" i="1"/>
  <c r="G100" i="1"/>
  <c r="I100" i="1"/>
  <c r="A99" i="1"/>
  <c r="E99" i="1"/>
  <c r="G99" i="1"/>
  <c r="I99" i="1"/>
  <c r="A98" i="1"/>
  <c r="E98" i="1"/>
  <c r="I98" i="1"/>
  <c r="A97" i="1"/>
  <c r="E97" i="1"/>
  <c r="G97" i="1"/>
  <c r="I97" i="1"/>
  <c r="L97" i="1"/>
  <c r="M97" i="1"/>
  <c r="A96" i="1"/>
  <c r="E96" i="1"/>
  <c r="G96" i="1"/>
  <c r="I96" i="1"/>
  <c r="L96" i="1"/>
  <c r="M96" i="1"/>
  <c r="A95" i="1"/>
  <c r="E95" i="1"/>
  <c r="G95" i="1"/>
  <c r="A94" i="1"/>
  <c r="E94" i="1"/>
  <c r="G94" i="1"/>
  <c r="A93" i="1" l="1"/>
  <c r="E93" i="1"/>
  <c r="G93" i="1"/>
  <c r="I93" i="1"/>
  <c r="A92" i="1"/>
  <c r="E92" i="1"/>
  <c r="G92" i="1"/>
  <c r="I92" i="1"/>
  <c r="A91" i="1"/>
  <c r="E91" i="1"/>
  <c r="G91" i="1"/>
  <c r="I91" i="1"/>
  <c r="A90" i="1"/>
  <c r="E90" i="1"/>
  <c r="G90" i="1"/>
  <c r="I90" i="1"/>
  <c r="A89" i="1"/>
  <c r="E89" i="1"/>
  <c r="G89" i="1"/>
  <c r="I89" i="1"/>
  <c r="B19" i="3"/>
  <c r="B18" i="3"/>
  <c r="A88" i="1"/>
  <c r="E88" i="1"/>
  <c r="G88" i="1"/>
  <c r="I88" i="1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4" i="12"/>
  <c r="H25" i="12"/>
  <c r="H27" i="12"/>
  <c r="A26" i="5"/>
  <c r="A87" i="1"/>
  <c r="E87" i="1"/>
  <c r="G87" i="1"/>
  <c r="A86" i="1"/>
  <c r="E86" i="1"/>
  <c r="A85" i="1"/>
  <c r="E85" i="1"/>
  <c r="A84" i="1"/>
  <c r="E84" i="1"/>
  <c r="I84" i="1"/>
  <c r="L84" i="1"/>
  <c r="M84" i="1"/>
  <c r="H26" i="12" s="1"/>
  <c r="R3" i="11" l="1" a="1"/>
  <c r="R3" i="11" s="1"/>
  <c r="L19" i="11" a="1"/>
  <c r="L19" i="11" s="1"/>
  <c r="L14" i="11" a="1"/>
  <c r="L14" i="11" s="1"/>
  <c r="L8" i="11" a="1"/>
  <c r="L8" i="11" s="1"/>
  <c r="L3" i="11"/>
  <c r="B17" i="3"/>
  <c r="A83" i="1"/>
  <c r="E83" i="1"/>
  <c r="G83" i="1"/>
  <c r="L83" i="1"/>
  <c r="M83" i="1"/>
  <c r="H28" i="12" s="1"/>
  <c r="A82" i="1"/>
  <c r="E82" i="1"/>
  <c r="A81" i="1"/>
  <c r="E81" i="1"/>
  <c r="A28" i="5"/>
  <c r="F28" i="5"/>
  <c r="J28" i="5"/>
  <c r="K28" i="5" a="1"/>
  <c r="K28" i="5" s="1"/>
  <c r="A27" i="5"/>
  <c r="F27" i="5"/>
  <c r="J27" i="5"/>
  <c r="K27" i="5" a="1"/>
  <c r="K27" i="5" s="1"/>
  <c r="A80" i="1" l="1"/>
  <c r="E80" i="1"/>
  <c r="G80" i="1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B5" i="13" l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A79" i="1"/>
  <c r="E79" i="1"/>
  <c r="A78" i="1"/>
  <c r="E78" i="1"/>
  <c r="G78" i="1"/>
  <c r="A77" i="1"/>
  <c r="E77" i="1"/>
  <c r="G77" i="1"/>
  <c r="A76" i="1"/>
  <c r="E76" i="1"/>
  <c r="G76" i="1"/>
  <c r="A75" i="1"/>
  <c r="E75" i="1"/>
  <c r="G75" i="1"/>
  <c r="A74" i="1"/>
  <c r="E74" i="1"/>
  <c r="G74" i="1"/>
  <c r="A73" i="1"/>
  <c r="E73" i="1"/>
  <c r="G73" i="1"/>
  <c r="A72" i="1"/>
  <c r="E72" i="1"/>
  <c r="G72" i="1"/>
  <c r="L26" i="5" a="1"/>
  <c r="L26" i="5" s="1"/>
  <c r="H5" i="12"/>
  <c r="A71" i="1"/>
  <c r="E71" i="1"/>
  <c r="G71" i="1"/>
  <c r="A70" i="1"/>
  <c r="E70" i="1"/>
  <c r="J26" i="5"/>
  <c r="K26" i="5" a="1"/>
  <c r="K26" i="5" s="1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4" i="12"/>
  <c r="E25" i="12"/>
  <c r="E26" i="12"/>
  <c r="E27" i="12"/>
  <c r="E28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5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2" i="6"/>
  <c r="A25" i="5"/>
  <c r="F25" i="5"/>
  <c r="J25" i="5"/>
  <c r="K25" i="5" a="1"/>
  <c r="K25" i="5" s="1"/>
  <c r="A69" i="1"/>
  <c r="E69" i="1"/>
  <c r="G69" i="1"/>
  <c r="A68" i="1"/>
  <c r="E68" i="1"/>
  <c r="G68" i="1"/>
  <c r="A67" i="1"/>
  <c r="E67" i="1"/>
  <c r="G67" i="1"/>
  <c r="A66" i="1"/>
  <c r="E66" i="1"/>
  <c r="A65" i="1"/>
  <c r="E65" i="1"/>
  <c r="G65" i="1"/>
  <c r="L25" i="5" l="1" a="1"/>
  <c r="L25" i="5" s="1"/>
  <c r="E5" i="12"/>
  <c r="L27" i="5" a="1"/>
  <c r="L27" i="5" s="1"/>
  <c r="P3" i="11" a="1"/>
  <c r="P3" i="11" s="1"/>
  <c r="N3" i="11" a="1"/>
  <c r="N3" i="11" s="1"/>
  <c r="N6" i="11" s="1"/>
  <c r="L28" i="5" a="1"/>
  <c r="L28" i="5" s="1"/>
  <c r="G5" i="12"/>
  <c r="D5" i="12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A64" i="1"/>
  <c r="E64" i="1"/>
  <c r="A63" i="1"/>
  <c r="E63" i="1"/>
  <c r="G63" i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A62" i="1"/>
  <c r="E62" i="1"/>
  <c r="G62" i="1"/>
  <c r="A61" i="1"/>
  <c r="E61" i="1"/>
  <c r="G61" i="1"/>
  <c r="A60" i="1"/>
  <c r="E60" i="1"/>
  <c r="G60" i="1"/>
  <c r="A59" i="1"/>
  <c r="E59" i="1"/>
  <c r="G59" i="1"/>
  <c r="A24" i="5"/>
  <c r="F24" i="5"/>
  <c r="K24" i="5" a="1"/>
  <c r="K24" i="5" s="1"/>
  <c r="A23" i="5"/>
  <c r="F23" i="5"/>
  <c r="K23" i="5" a="1"/>
  <c r="K23" i="5" s="1"/>
  <c r="A58" i="1"/>
  <c r="E58" i="1"/>
  <c r="G58" i="1"/>
  <c r="A22" i="5"/>
  <c r="F22" i="5"/>
  <c r="K22" i="5" a="1"/>
  <c r="K22" i="5" s="1"/>
  <c r="A21" i="5"/>
  <c r="F21" i="5"/>
  <c r="K21" i="5" a="1"/>
  <c r="K21" i="5" s="1"/>
  <c r="A57" i="1"/>
  <c r="E57" i="1"/>
  <c r="A56" i="1"/>
  <c r="E56" i="1"/>
  <c r="G56" i="1"/>
  <c r="N7" i="11" l="1"/>
  <c r="L4" i="5" a="1"/>
  <c r="L4" i="5" s="1"/>
  <c r="L11" i="5" a="1"/>
  <c r="L11" i="5" s="1"/>
  <c r="L7" i="5" a="1"/>
  <c r="L7" i="5" s="1"/>
  <c r="L19" i="5" a="1"/>
  <c r="L19" i="5" s="1"/>
  <c r="L15" i="5" a="1"/>
  <c r="L15" i="5" s="1"/>
  <c r="L3" i="5" a="1"/>
  <c r="L3" i="5" s="1"/>
  <c r="L22" i="5" a="1"/>
  <c r="L22" i="5" s="1"/>
  <c r="L18" i="5" a="1"/>
  <c r="L18" i="5" s="1"/>
  <c r="L14" i="5" a="1"/>
  <c r="L14" i="5" s="1"/>
  <c r="L10" i="5" a="1"/>
  <c r="L10" i="5" s="1"/>
  <c r="L6" i="5" a="1"/>
  <c r="L6" i="5" s="1"/>
  <c r="L2" i="5" a="1"/>
  <c r="L2" i="5" s="1"/>
  <c r="L17" i="5" a="1"/>
  <c r="L17" i="5" s="1"/>
  <c r="L13" i="5" a="1"/>
  <c r="L13" i="5" s="1"/>
  <c r="L9" i="5" a="1"/>
  <c r="L9" i="5" s="1"/>
  <c r="L5" i="5" a="1"/>
  <c r="L5" i="5" s="1"/>
  <c r="L23" i="5" a="1"/>
  <c r="L23" i="5" s="1"/>
  <c r="L24" i="5" a="1"/>
  <c r="L24" i="5" s="1"/>
  <c r="L21" i="5" a="1"/>
  <c r="L21" i="5" s="1"/>
  <c r="L20" i="5" a="1"/>
  <c r="L20" i="5" s="1"/>
  <c r="L16" i="5" a="1"/>
  <c r="L16" i="5" s="1"/>
  <c r="L12" i="5" a="1"/>
  <c r="L12" i="5" s="1"/>
  <c r="L8" i="5" a="1"/>
  <c r="L8" i="5" s="1"/>
  <c r="L31" i="5" l="1"/>
  <c r="K3" i="5" a="1"/>
  <c r="K3" i="5" s="1"/>
  <c r="K4" i="5" a="1"/>
  <c r="K4" i="5" s="1"/>
  <c r="K5" i="5" a="1"/>
  <c r="K5" i="5" s="1"/>
  <c r="K6" i="5" a="1"/>
  <c r="K6" i="5" s="1"/>
  <c r="K7" i="5" a="1"/>
  <c r="K7" i="5" s="1"/>
  <c r="K8" i="5" a="1"/>
  <c r="K8" i="5" s="1"/>
  <c r="K9" i="5" a="1"/>
  <c r="K9" i="5" s="1"/>
  <c r="K10" i="5" a="1"/>
  <c r="K10" i="5" s="1"/>
  <c r="K11" i="5" a="1"/>
  <c r="K11" i="5" s="1"/>
  <c r="K12" i="5" a="1"/>
  <c r="K12" i="5" s="1"/>
  <c r="K13" i="5" a="1"/>
  <c r="K13" i="5" s="1"/>
  <c r="K14" i="5" a="1"/>
  <c r="K14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" i="5" a="1"/>
  <c r="K2" i="5" s="1"/>
  <c r="C2" i="10"/>
  <c r="C3" i="10" s="1"/>
  <c r="H4" i="10"/>
  <c r="H3" i="10"/>
  <c r="H2" i="10"/>
  <c r="A3" i="10"/>
  <c r="B3" i="10"/>
  <c r="B2" i="10"/>
  <c r="A2" i="10"/>
  <c r="A18" i="8"/>
  <c r="C3" i="8"/>
  <c r="C4" i="8"/>
  <c r="C5" i="8"/>
  <c r="C7" i="8"/>
  <c r="C9" i="8"/>
  <c r="C10" i="8"/>
  <c r="C11" i="8"/>
  <c r="C12" i="8"/>
  <c r="C13" i="8"/>
  <c r="C15" i="8"/>
  <c r="A55" i="1"/>
  <c r="E55" i="1"/>
  <c r="A54" i="1"/>
  <c r="E54" i="1"/>
  <c r="G54" i="1"/>
  <c r="M54" i="1"/>
  <c r="A20" i="5"/>
  <c r="F20" i="5"/>
  <c r="A53" i="1"/>
  <c r="E53" i="1"/>
  <c r="G53" i="1"/>
  <c r="M53" i="1"/>
  <c r="D8" i="8" s="1" a="1"/>
  <c r="D8" i="8" s="1"/>
  <c r="A52" i="1"/>
  <c r="E52" i="1"/>
  <c r="A51" i="1"/>
  <c r="E51" i="1"/>
  <c r="G51" i="1"/>
  <c r="A50" i="1"/>
  <c r="E50" i="1"/>
  <c r="G50" i="1"/>
  <c r="M50" i="1"/>
  <c r="A49" i="1"/>
  <c r="E49" i="1"/>
  <c r="G49" i="1"/>
  <c r="M49" i="1"/>
  <c r="F19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48" i="1"/>
  <c r="E48" i="1"/>
  <c r="G48" i="1"/>
  <c r="C14" i="8"/>
  <c r="M48" i="1"/>
  <c r="F18" i="5"/>
  <c r="A47" i="1"/>
  <c r="E47" i="1"/>
  <c r="A46" i="1"/>
  <c r="E46" i="1"/>
  <c r="G46" i="1"/>
  <c r="C2" i="8"/>
  <c r="A45" i="1"/>
  <c r="E45" i="1"/>
  <c r="G45" i="1"/>
  <c r="A44" i="1"/>
  <c r="E44" i="1"/>
  <c r="A43" i="1"/>
  <c r="E43" i="1"/>
  <c r="A42" i="1"/>
  <c r="E42" i="1"/>
  <c r="G42" i="1"/>
  <c r="A41" i="1"/>
  <c r="E41" i="1"/>
  <c r="G41" i="1"/>
  <c r="A40" i="1"/>
  <c r="E40" i="1"/>
  <c r="G40" i="1"/>
  <c r="A39" i="1"/>
  <c r="E39" i="1"/>
  <c r="G39" i="1"/>
  <c r="A38" i="1"/>
  <c r="E38" i="1"/>
  <c r="A37" i="1"/>
  <c r="E37" i="1"/>
  <c r="G37" i="1"/>
  <c r="A36" i="1"/>
  <c r="E36" i="1"/>
  <c r="G36" i="1"/>
  <c r="A35" i="1"/>
  <c r="E35" i="1"/>
  <c r="G35" i="1"/>
  <c r="A34" i="1"/>
  <c r="E34" i="1"/>
  <c r="G34" i="1"/>
  <c r="A33" i="1"/>
  <c r="E33" i="1"/>
  <c r="G33" i="1"/>
  <c r="A32" i="1"/>
  <c r="E32" i="1"/>
  <c r="G32" i="1"/>
  <c r="F17" i="5"/>
  <c r="F16" i="5"/>
  <c r="A31" i="1"/>
  <c r="E31" i="1"/>
  <c r="G31" i="1"/>
  <c r="A30" i="1"/>
  <c r="E30" i="1"/>
  <c r="G30" i="1"/>
  <c r="A29" i="1"/>
  <c r="E29" i="1"/>
  <c r="G29" i="1"/>
  <c r="A28" i="1"/>
  <c r="E28" i="1"/>
  <c r="G28" i="1"/>
  <c r="A27" i="1"/>
  <c r="E27" i="1"/>
  <c r="G27" i="1"/>
  <c r="A26" i="1"/>
  <c r="E26" i="1"/>
  <c r="G26" i="1"/>
  <c r="A25" i="1"/>
  <c r="E25" i="1"/>
  <c r="G25" i="1"/>
  <c r="A24" i="1"/>
  <c r="E24" i="1"/>
  <c r="G24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A3" i="9"/>
  <c r="A2" i="9"/>
  <c r="A2" i="5"/>
  <c r="F15" i="5"/>
  <c r="D3" i="8" a="1"/>
  <c r="D3" i="8" s="1"/>
  <c r="D4" i="8" a="1"/>
  <c r="D4" i="8" s="1"/>
  <c r="D5" i="8" a="1"/>
  <c r="D5" i="8" s="1"/>
  <c r="D7" i="8" a="1"/>
  <c r="D7" i="8" s="1"/>
  <c r="D9" i="8" a="1"/>
  <c r="D9" i="8" s="1"/>
  <c r="D10" i="8" a="1"/>
  <c r="D10" i="8" s="1"/>
  <c r="D11" i="8" a="1"/>
  <c r="D11" i="8" s="1"/>
  <c r="D12" i="8" a="1"/>
  <c r="D12" i="8" s="1"/>
  <c r="D13" i="8" a="1"/>
  <c r="D13" i="8" s="1"/>
  <c r="D15" i="8" a="1"/>
  <c r="D15" i="8" s="1"/>
  <c r="A23" i="1"/>
  <c r="E2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" i="1"/>
  <c r="E20" i="1"/>
  <c r="E21" i="1"/>
  <c r="E22" i="1"/>
  <c r="E19" i="1"/>
  <c r="F14" i="5"/>
  <c r="E18" i="1"/>
  <c r="E17" i="1"/>
  <c r="E16" i="1"/>
  <c r="E15" i="1"/>
  <c r="E10" i="1"/>
  <c r="E11" i="1"/>
  <c r="E12" i="1"/>
  <c r="E13" i="1"/>
  <c r="E14" i="1"/>
  <c r="E9" i="1"/>
  <c r="E8" i="1"/>
  <c r="E7" i="1"/>
  <c r="E6" i="1"/>
  <c r="E5" i="1"/>
  <c r="E4" i="1"/>
  <c r="E2" i="1"/>
  <c r="E3" i="1"/>
  <c r="A3" i="8"/>
  <c r="B3" i="8" s="1" a="1"/>
  <c r="B3" i="8" s="1"/>
  <c r="A4" i="8"/>
  <c r="B4" i="8" s="1" a="1"/>
  <c r="B4" i="8" s="1"/>
  <c r="A5" i="8"/>
  <c r="B5" i="8" s="1" a="1"/>
  <c r="B5" i="8" s="1"/>
  <c r="A6" i="8"/>
  <c r="B6" i="8" s="1" a="1"/>
  <c r="B6" i="8" s="1"/>
  <c r="A7" i="8"/>
  <c r="B7" i="8" s="1" a="1"/>
  <c r="B7" i="8" s="1"/>
  <c r="A8" i="8"/>
  <c r="B8" i="8" s="1" a="1"/>
  <c r="B8" i="8" s="1"/>
  <c r="A9" i="8"/>
  <c r="B9" i="8" s="1" a="1"/>
  <c r="B9" i="8" s="1"/>
  <c r="A10" i="8"/>
  <c r="B10" i="8" s="1" a="1"/>
  <c r="B10" i="8" s="1"/>
  <c r="A11" i="8"/>
  <c r="B11" i="8" s="1" a="1"/>
  <c r="B11" i="8" s="1"/>
  <c r="A12" i="8"/>
  <c r="B12" i="8" s="1" a="1"/>
  <c r="B12" i="8" s="1"/>
  <c r="A13" i="8"/>
  <c r="B13" i="8" s="1" a="1"/>
  <c r="B13" i="8" s="1"/>
  <c r="A14" i="8"/>
  <c r="B14" i="8" s="1" a="1"/>
  <c r="B14" i="8" s="1"/>
  <c r="A15" i="8"/>
  <c r="B15" i="8" s="1" a="1"/>
  <c r="B15" i="8" s="1"/>
  <c r="A2" i="8"/>
  <c r="B2" i="8" s="1" a="1"/>
  <c r="B2" i="8" s="1"/>
  <c r="D14" i="8" l="1" a="1"/>
  <c r="D14" i="8" s="1"/>
  <c r="H21" i="12"/>
  <c r="E21" i="12"/>
  <c r="H22" i="12"/>
  <c r="E22" i="12"/>
  <c r="H23" i="12"/>
  <c r="E23" i="12"/>
  <c r="G2" i="8"/>
  <c r="D2" i="8" a="1"/>
  <c r="D2" i="8" s="1"/>
  <c r="C8" i="8"/>
  <c r="H2" i="8"/>
  <c r="D6" i="8" a="1"/>
  <c r="D6" i="8" s="1"/>
  <c r="C6" i="8"/>
  <c r="F2" i="8"/>
  <c r="F13" i="5"/>
  <c r="F12" i="5"/>
  <c r="F10" i="5"/>
  <c r="F9" i="5"/>
  <c r="F8" i="5"/>
  <c r="F7" i="5"/>
  <c r="F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<sst xmlns="http://schemas.openxmlformats.org/spreadsheetml/2006/main" count="1295" uniqueCount="310">
  <si>
    <t>Tipo</t>
  </si>
  <si>
    <t>TipoCostura</t>
  </si>
  <si>
    <t>Tejido</t>
  </si>
  <si>
    <t>Costura Mahón</t>
  </si>
  <si>
    <t>Costura</t>
  </si>
  <si>
    <t>Costura a Mano</t>
  </si>
  <si>
    <t>Color</t>
  </si>
  <si>
    <t>Azúl Claro</t>
  </si>
  <si>
    <t>Blanco</t>
  </si>
  <si>
    <t>Negro</t>
  </si>
  <si>
    <t>Fuscia</t>
  </si>
  <si>
    <t>Rosa Claro</t>
  </si>
  <si>
    <t>Amarillo Pálido</t>
  </si>
  <si>
    <t>Amarillo Chillón</t>
  </si>
  <si>
    <t>Amarillo Matizado</t>
  </si>
  <si>
    <t>Crema</t>
  </si>
  <si>
    <t>Azúl Navy</t>
  </si>
  <si>
    <t>Rojo</t>
  </si>
  <si>
    <t>Violeta</t>
  </si>
  <si>
    <t>Nombre</t>
  </si>
  <si>
    <t>Teléfono</t>
  </si>
  <si>
    <t>Johanna</t>
  </si>
  <si>
    <t>CodeClient</t>
  </si>
  <si>
    <t>Dora</t>
  </si>
  <si>
    <t>Marilyn</t>
  </si>
  <si>
    <t>CodeColor</t>
  </si>
  <si>
    <t>CodeCostura</t>
  </si>
  <si>
    <t>Cliente</t>
  </si>
  <si>
    <t>Precio</t>
  </si>
  <si>
    <t>Cantidad</t>
  </si>
  <si>
    <t>Fecha</t>
  </si>
  <si>
    <t>CodigoCompra</t>
  </si>
  <si>
    <t>CodePrecio</t>
  </si>
  <si>
    <t>SubCliente</t>
  </si>
  <si>
    <t>Dir1</t>
  </si>
  <si>
    <t>Dir2</t>
  </si>
  <si>
    <t>Pueblo</t>
  </si>
  <si>
    <t>Estado</t>
  </si>
  <si>
    <t>ZipCode</t>
  </si>
  <si>
    <t>E-Mail</t>
  </si>
  <si>
    <t>Tuty</t>
  </si>
  <si>
    <t>Jacky</t>
  </si>
  <si>
    <t>Suegra Nao</t>
  </si>
  <si>
    <t>Adriana</t>
  </si>
  <si>
    <t>Naomi</t>
  </si>
  <si>
    <t>Rosita</t>
  </si>
  <si>
    <t>Coco</t>
  </si>
  <si>
    <t>Jenniffer</t>
  </si>
  <si>
    <t>Adjuntas</t>
  </si>
  <si>
    <t>Aguada</t>
  </si>
  <si>
    <t>Aguadilla</t>
  </si>
  <si>
    <t>Aguas Buenas</t>
  </si>
  <si>
    <t>Aibonito</t>
  </si>
  <si>
    <t>Arecibo</t>
  </si>
  <si>
    <t>Arroyo</t>
  </si>
  <si>
    <t>Añasco</t>
  </si>
  <si>
    <t>Barceloneta</t>
  </si>
  <si>
    <t>Barranquitas</t>
  </si>
  <si>
    <t>Bayamón</t>
  </si>
  <si>
    <t>Cabo Rojo</t>
  </si>
  <si>
    <t>Caguas</t>
  </si>
  <si>
    <t>Camuy</t>
  </si>
  <si>
    <t>Canóvanas</t>
  </si>
  <si>
    <t>Carolina</t>
  </si>
  <si>
    <t>Cataño</t>
  </si>
  <si>
    <t>Cayey</t>
  </si>
  <si>
    <t>Ceiba</t>
  </si>
  <si>
    <t>Ciales</t>
  </si>
  <si>
    <t>Cidra</t>
  </si>
  <si>
    <t>Coamo</t>
  </si>
  <si>
    <t>Comerío</t>
  </si>
  <si>
    <t>Corozal</t>
  </si>
  <si>
    <t>Culebra</t>
  </si>
  <si>
    <t>Dorado</t>
  </si>
  <si>
    <t>Fajardo</t>
  </si>
  <si>
    <t>Florida</t>
  </si>
  <si>
    <t>Guayama</t>
  </si>
  <si>
    <t>Guayanilla</t>
  </si>
  <si>
    <t>Guaynabo</t>
  </si>
  <si>
    <t>Gurabo</t>
  </si>
  <si>
    <t>Guánica</t>
  </si>
  <si>
    <t>Hatillo</t>
  </si>
  <si>
    <t>Hormigueros</t>
  </si>
  <si>
    <t>Humacao</t>
  </si>
  <si>
    <t>Isabela</t>
  </si>
  <si>
    <t>Jayuya</t>
  </si>
  <si>
    <t>Juana Díaz</t>
  </si>
  <si>
    <t>Juncos</t>
  </si>
  <si>
    <t>Lajas</t>
  </si>
  <si>
    <t>Lares</t>
  </si>
  <si>
    <t>Las Marías</t>
  </si>
  <si>
    <t>Las Piedras</t>
  </si>
  <si>
    <t>Loiza</t>
  </si>
  <si>
    <t>Luquillo</t>
  </si>
  <si>
    <t>Manatí</t>
  </si>
  <si>
    <t>Maricao</t>
  </si>
  <si>
    <t>Maunabo</t>
  </si>
  <si>
    <t>Mayagüez</t>
  </si>
  <si>
    <t>Moca</t>
  </si>
  <si>
    <t>Morovis</t>
  </si>
  <si>
    <t>Naguabo</t>
  </si>
  <si>
    <t>Naranjito</t>
  </si>
  <si>
    <t>Orocovis</t>
  </si>
  <si>
    <t>Patillas</t>
  </si>
  <si>
    <t>Peñuelas</t>
  </si>
  <si>
    <t>Ponce</t>
  </si>
  <si>
    <t>Quebradillas</t>
  </si>
  <si>
    <t>Rincón</t>
  </si>
  <si>
    <t>Rio Grande</t>
  </si>
  <si>
    <t>Sabana Grande</t>
  </si>
  <si>
    <t>Salinas</t>
  </si>
  <si>
    <t>San Germán</t>
  </si>
  <si>
    <t>San Juan</t>
  </si>
  <si>
    <t>San Lorenzo</t>
  </si>
  <si>
    <t>San Sebastián</t>
  </si>
  <si>
    <t>Santa Isabel</t>
  </si>
  <si>
    <t>Toa Alta</t>
  </si>
  <si>
    <t>Toa Baja</t>
  </si>
  <si>
    <t>Trujillo Alto</t>
  </si>
  <si>
    <t>Utuado</t>
  </si>
  <si>
    <t>Vega Alta</t>
  </si>
  <si>
    <t>Vega Baja</t>
  </si>
  <si>
    <t>Vieques</t>
  </si>
  <si>
    <t>Villalba</t>
  </si>
  <si>
    <t>Yabucoa</t>
  </si>
  <si>
    <t>Yauco</t>
  </si>
  <si>
    <t>codepueblos</t>
  </si>
  <si>
    <t>Terminado</t>
  </si>
  <si>
    <t>Entregado</t>
  </si>
  <si>
    <t>CodeBol</t>
  </si>
  <si>
    <t>Bol</t>
  </si>
  <si>
    <t>Sí</t>
  </si>
  <si>
    <t>No</t>
  </si>
  <si>
    <t>Dos Colores</t>
  </si>
  <si>
    <t>Tres Colores</t>
  </si>
  <si>
    <t>Pedidas</t>
  </si>
  <si>
    <t>Hechas</t>
  </si>
  <si>
    <t>Entregadas</t>
  </si>
  <si>
    <t>Total Pedidos</t>
  </si>
  <si>
    <t>jenniffer</t>
  </si>
  <si>
    <t>Hermana jan</t>
  </si>
  <si>
    <t>Hewlett Packard</t>
  </si>
  <si>
    <t>SexId</t>
  </si>
  <si>
    <t>Sex</t>
  </si>
  <si>
    <t>Male</t>
  </si>
  <si>
    <t>Female</t>
  </si>
  <si>
    <t>AZÚL CLARO</t>
  </si>
  <si>
    <t>Pagó</t>
  </si>
  <si>
    <t>Grisel</t>
  </si>
  <si>
    <t>Luz</t>
  </si>
  <si>
    <t>Yma</t>
  </si>
  <si>
    <t>Dayanara</t>
  </si>
  <si>
    <t>Tatita</t>
  </si>
  <si>
    <t>Anidza</t>
  </si>
  <si>
    <t>Karla</t>
  </si>
  <si>
    <t>Ingresos</t>
  </si>
  <si>
    <t>CodeExpenditures</t>
  </si>
  <si>
    <t>DateExpenditure</t>
  </si>
  <si>
    <t>Expenditure</t>
  </si>
  <si>
    <t>WhereExpenditure</t>
  </si>
  <si>
    <t>Tiendas</t>
  </si>
  <si>
    <t>Wal-Mart</t>
  </si>
  <si>
    <t>CodeTiendas</t>
  </si>
  <si>
    <t>Munto Telas</t>
  </si>
  <si>
    <t>Family Fabrics</t>
  </si>
  <si>
    <t>Gastos</t>
  </si>
  <si>
    <t>Rosas</t>
  </si>
  <si>
    <t>pqt</t>
  </si>
  <si>
    <t>Azul Clarito (clear)</t>
  </si>
  <si>
    <t>Hilo Omega Negro</t>
  </si>
  <si>
    <t>Hilo Omega Rojo</t>
  </si>
  <si>
    <t>Hilo Aunt Lydia Navy</t>
  </si>
  <si>
    <t>Rollo</t>
  </si>
  <si>
    <t>Aguja Tejer #7</t>
  </si>
  <si>
    <t>Aguja</t>
  </si>
  <si>
    <t>Pega UHU</t>
  </si>
  <si>
    <t>Pega</t>
  </si>
  <si>
    <t>Bolsitas</t>
  </si>
  <si>
    <t>Hilos Omega Negro</t>
  </si>
  <si>
    <t>Hilo Coser Negro</t>
  </si>
  <si>
    <t>Azul Añil</t>
  </si>
  <si>
    <t>Azul Oscuro</t>
  </si>
  <si>
    <t>Negro Surtido</t>
  </si>
  <si>
    <t>Detal</t>
  </si>
  <si>
    <t>Gasto Total</t>
  </si>
  <si>
    <t>Necho</t>
  </si>
  <si>
    <t>Gente Moca</t>
  </si>
  <si>
    <t>PAGAS</t>
  </si>
  <si>
    <t>Pedidos</t>
  </si>
  <si>
    <t>Mayi Candelaria</t>
  </si>
  <si>
    <t>Coneticut</t>
  </si>
  <si>
    <t>Violeta Matizado</t>
  </si>
  <si>
    <t>Cantidad Pedida</t>
  </si>
  <si>
    <t>141 Alexander Drive</t>
  </si>
  <si>
    <t>Meriden</t>
  </si>
  <si>
    <t>Gratis</t>
  </si>
  <si>
    <t>Pagas</t>
  </si>
  <si>
    <t>Idaliz Carrero</t>
  </si>
  <si>
    <t>PR</t>
  </si>
  <si>
    <t>CantidadesTotal</t>
  </si>
  <si>
    <t>CantidadesClienta</t>
  </si>
  <si>
    <t>CantidadesPorColor</t>
  </si>
  <si>
    <t>Fray Carlos</t>
  </si>
  <si>
    <t>Sacerdotes</t>
  </si>
  <si>
    <t>Rosa Viejo</t>
  </si>
  <si>
    <t>lugar</t>
  </si>
  <si>
    <t>Mundo Telas</t>
  </si>
  <si>
    <t>Hilo Omega Azúl Claro (Color: 0026)</t>
  </si>
  <si>
    <t>Hilo Omega Fuscia (Fiushe 62-360-0010)</t>
  </si>
  <si>
    <t>Hilo Omega Verde (Color: 0030)</t>
  </si>
  <si>
    <t>CURVE Needles (Agujas Curveadas)</t>
  </si>
  <si>
    <t>Botones 4H Avanti Violeta (6611)</t>
  </si>
  <si>
    <t>Botones Dill Buttons ROJO (647) (18mm) (11/16")</t>
  </si>
  <si>
    <t>Botones 4H  Avanti Rosa Clarito</t>
  </si>
  <si>
    <t>Botones Dill Buttons NEGRO (362) (18mm) (11/16")</t>
  </si>
  <si>
    <t>Botones Avanti Negros (23mm)</t>
  </si>
  <si>
    <t>Botones Avanti Blancos (20 mm)</t>
  </si>
  <si>
    <t>Botones Avanti Fiushe (20 mm)</t>
  </si>
  <si>
    <t>Botones Avanti Rosa Claro (20 mm)</t>
  </si>
  <si>
    <t>Botones Avanti Azúl Claro (20 mm)</t>
  </si>
  <si>
    <t>Botones Avanti Azúl Obscuro (20 mm)</t>
  </si>
  <si>
    <t>Botones Avanti Negros 2H (20 mm)</t>
  </si>
  <si>
    <t>Botones Avanti Negros 4H (20 mm)</t>
  </si>
  <si>
    <t>Botones Avanti Amarillos 4H (20 mm)</t>
  </si>
  <si>
    <t>Gasto Fecha</t>
  </si>
  <si>
    <t>Gasto Fecha-Lugar</t>
  </si>
  <si>
    <t>Gasto Lugar</t>
  </si>
  <si>
    <t>Total Cobrado</t>
  </si>
  <si>
    <t>Pendiente de Cobrar</t>
  </si>
  <si>
    <t>Regaladas</t>
  </si>
  <si>
    <t>CT</t>
  </si>
  <si>
    <t>necho</t>
  </si>
  <si>
    <t>Conneticut</t>
  </si>
  <si>
    <t>Se Deben</t>
  </si>
  <si>
    <t>Verde</t>
  </si>
  <si>
    <t>Colegial (2 Colores)</t>
  </si>
  <si>
    <t>Botones Avanti Cremas (20 mm)</t>
  </si>
  <si>
    <t>Botones Avanti Negros (screen) (20 mm)</t>
  </si>
  <si>
    <t>Botones Avanti Negros (screen) (17 mm)</t>
  </si>
  <si>
    <t>Botones Avanti Rosa Viejo (20 mm)</t>
  </si>
  <si>
    <t>Botones Avanti Gris (20 mm)</t>
  </si>
  <si>
    <t>Botones Avanti Anaranjado (20 mm)</t>
  </si>
  <si>
    <t>Botones Avanti Turquesa (20 mm)</t>
  </si>
  <si>
    <t>Hilo Omega Azúl Navy</t>
  </si>
  <si>
    <t>Hilo Golondrina Anaranjado neon</t>
  </si>
  <si>
    <t>Hilo Omega Rosa Claro</t>
  </si>
  <si>
    <t>Hilo de Coser Blanco 40S/2 3000yds</t>
  </si>
  <si>
    <t>Botones Avanti Gingan Rosa</t>
  </si>
  <si>
    <t>Botones Avanti Azúl Marino</t>
  </si>
  <si>
    <t>Hilo Omega Gris</t>
  </si>
  <si>
    <t>Bolsitas 2 x 3 inches</t>
  </si>
  <si>
    <t>Botones Dill Buttons NEGRO (346) (15mm)</t>
  </si>
  <si>
    <t>Botones Dill Buttons NEGRO (67) (18mm)</t>
  </si>
  <si>
    <t>Botones Dill Buttons NEGRO (1387) (15mm)</t>
  </si>
  <si>
    <t>Botones Charms Verdes</t>
  </si>
  <si>
    <t>FechaPago</t>
  </si>
  <si>
    <t>Anaranjado Neon</t>
  </si>
  <si>
    <t>Gris</t>
  </si>
  <si>
    <t>&lt;-</t>
  </si>
  <si>
    <t>Cobrado - gastos</t>
  </si>
  <si>
    <t>Ganancia+pendiente</t>
  </si>
  <si>
    <t>NumeroOrden</t>
  </si>
  <si>
    <t>20-001</t>
  </si>
  <si>
    <t>20-0022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</si>
  <si>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</si>
  <si>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</si>
  <si>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</si>
  <si>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</si>
  <si>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</si>
  <si>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</si>
  <si>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</si>
  <si>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</si>
  <si>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20-0010</t>
  </si>
  <si>
    <t>20-0020</t>
  </si>
  <si>
    <t>20-0030</t>
  </si>
  <si>
    <t>20-0011</t>
  </si>
  <si>
    <t>20-0012</t>
  </si>
  <si>
    <t>20-0013</t>
  </si>
  <si>
    <t>20-0014</t>
  </si>
  <si>
    <t>20-0015</t>
  </si>
  <si>
    <t>20-0016</t>
  </si>
  <si>
    <t>20-0017</t>
  </si>
  <si>
    <t>20-0018</t>
  </si>
  <si>
    <t>20-0019</t>
  </si>
  <si>
    <t>20-0021</t>
  </si>
  <si>
    <t>20-0023</t>
  </si>
  <si>
    <t>20-0024</t>
  </si>
  <si>
    <t>20-0025</t>
  </si>
  <si>
    <t>20-0026</t>
  </si>
  <si>
    <t>20-0027</t>
  </si>
  <si>
    <t>20-0028</t>
  </si>
  <si>
    <t>20-0029</t>
  </si>
  <si>
    <t>20-0031</t>
  </si>
  <si>
    <t>20-0032</t>
  </si>
  <si>
    <t>Tipo2</t>
  </si>
  <si>
    <t>Descripción</t>
  </si>
  <si>
    <t>Botón</t>
  </si>
  <si>
    <t>Hilo</t>
  </si>
  <si>
    <t>Misc</t>
  </si>
  <si>
    <t>Rosa</t>
  </si>
  <si>
    <t>Azúl Clarito</t>
  </si>
  <si>
    <t>Azúl Añil</t>
  </si>
  <si>
    <t>Azúl Oscuro</t>
  </si>
  <si>
    <t>Fuchsia</t>
  </si>
  <si>
    <t>Rosa Clarito</t>
  </si>
  <si>
    <t>Amarillo</t>
  </si>
  <si>
    <t>Anaranjado</t>
  </si>
  <si>
    <t>Turquesa</t>
  </si>
  <si>
    <t>Anaranjada Neón</t>
  </si>
  <si>
    <t>Gasto Tipo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</si>
</sst>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&lt;=9999999]###\-####;\(###\)\ ###\-####"/>
    <numFmt numFmtId="165" formatCode="0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2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0" fontId="6" fillId="4" borderId="0" applyNumberFormat="0" applyBorder="0" applyAlignment="0" applyProtection="0"/>
    <xf numFmtId="0" fontId="5" fillId="0" borderId="5" applyNumberFormat="0" applyFill="0" applyAlignment="0" applyProtection="0"/>
    <xf numFmtId="0" fontId="9" fillId="5" borderId="0" applyNumberFormat="0" applyBorder="0" applyAlignment="0" applyProtection="0"/>
    <xf numFmtId="0" fontId="1" fillId="6" borderId="0" applyNumberFormat="0" applyBorder="0" applyAlignment="0" applyProtection="0"/>
    <xf numFmtId="0" fontId="9" fillId="7" borderId="0" applyNumberFormat="0" applyBorder="0" applyAlignment="0" applyProtection="0"/>
  </cellStyleXfs>
  <cellXfs count="27">
    <xf numFmtId="0" fontId="0" fillId="0" borderId="0" xfId="0"/>
    <xf numFmtId="1" fontId="0" fillId="0" borderId="0" xfId="0" applyNumberFormat="1"/>
    <xf numFmtId="44" fontId="0" fillId="0" borderId="0" xfId="1" applyFont="1"/>
    <xf numFmtId="164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NumberFormat="1"/>
    <xf numFmtId="0" fontId="0" fillId="0" borderId="0" xfId="1" applyNumberFormat="1" applyFont="1"/>
    <xf numFmtId="14" fontId="0" fillId="0" borderId="0" xfId="0" applyNumberFormat="1"/>
    <xf numFmtId="44" fontId="3" fillId="0" borderId="0" xfId="0" applyNumberFormat="1" applyFont="1"/>
    <xf numFmtId="0" fontId="0" fillId="2" borderId="1" xfId="0" applyFont="1" applyFill="1" applyBorder="1"/>
    <xf numFmtId="0" fontId="0" fillId="0" borderId="1" xfId="0" applyFont="1" applyBorder="1"/>
    <xf numFmtId="0" fontId="4" fillId="3" borderId="1" xfId="0" applyFont="1" applyFill="1" applyBorder="1"/>
    <xf numFmtId="0" fontId="4" fillId="3" borderId="2" xfId="0" applyFont="1" applyFill="1" applyBorder="1"/>
    <xf numFmtId="0" fontId="0" fillId="2" borderId="3" xfId="0" applyFont="1" applyFill="1" applyBorder="1"/>
    <xf numFmtId="0" fontId="0" fillId="2" borderId="2" xfId="0" applyFont="1" applyFill="1" applyBorder="1"/>
    <xf numFmtId="0" fontId="0" fillId="2" borderId="0" xfId="0" applyFont="1" applyFill="1"/>
    <xf numFmtId="0" fontId="8" fillId="4" borderId="4" xfId="2" applyFont="1" applyBorder="1" applyAlignment="1">
      <alignment horizontal="center"/>
    </xf>
    <xf numFmtId="0" fontId="6" fillId="4" borderId="0" xfId="2" applyAlignment="1">
      <alignment horizontal="center"/>
    </xf>
    <xf numFmtId="14" fontId="6" fillId="4" borderId="0" xfId="2" applyNumberFormat="1" applyAlignment="1">
      <alignment horizontal="center"/>
    </xf>
    <xf numFmtId="0" fontId="7" fillId="4" borderId="0" xfId="2" applyFont="1" applyAlignment="1">
      <alignment horizontal="center"/>
    </xf>
    <xf numFmtId="44" fontId="5" fillId="4" borderId="5" xfId="3" applyNumberFormat="1" applyFill="1"/>
    <xf numFmtId="44" fontId="5" fillId="4" borderId="5" xfId="3" applyNumberFormat="1" applyFill="1" applyAlignment="1">
      <alignment horizontal="center"/>
    </xf>
    <xf numFmtId="44" fontId="0" fillId="0" borderId="0" xfId="0" applyNumberFormat="1"/>
    <xf numFmtId="165" fontId="0" fillId="0" borderId="0" xfId="0" applyNumberFormat="1"/>
    <xf numFmtId="0" fontId="9" fillId="5" borderId="0" xfId="4"/>
    <xf numFmtId="0" fontId="1" fillId="6" borderId="0" xfId="5"/>
    <xf numFmtId="44" fontId="10" fillId="7" borderId="0" xfId="6" applyNumberFormat="1" applyFont="1"/>
  </cellXfs>
  <cellStyles count="7">
    <cellStyle name="60% - Accent4" xfId="5" builtinId="44"/>
    <cellStyle name="Accent4" xfId="4" builtinId="41"/>
    <cellStyle name="Accent6" xfId="6" builtinId="49"/>
    <cellStyle name="Bad" xfId="2" builtinId="27"/>
    <cellStyle name="Currency" xfId="1" builtinId="4"/>
    <cellStyle name="Normal" xfId="0" builtinId="0"/>
    <cellStyle name="Total" xfId="3" builtinId="25"/>
  </cellStyles>
  <dxfs count="35"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numFmt numFmtId="0" formatCode="General"/>
    </dxf>
    <dxf>
      <numFmt numFmtId="165" formatCode="00000"/>
    </dxf>
    <dxf>
      <numFmt numFmtId="0" formatCode="General"/>
    </dxf>
    <dxf>
      <numFmt numFmtId="164" formatCode="[&lt;=9999999]###\-####;\(###\)\ ###\-####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53975"/>
      <color rgb="FFF2FF79"/>
      <color rgb="FFFF00FF"/>
      <color rgb="FFFFB7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GraphicTest!$B$1</c:f>
              <c:strCache>
                <c:ptCount val="1"/>
                <c:pt idx="0">
                  <c:v>Pedidas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GraphicTest!$A$2:$A$15</c:f>
              <c:strCache>
                <c:ptCount val="14"/>
                <c:pt idx="0">
                  <c:v>Azúl Navy</c:v>
                </c:pt>
                <c:pt idx="1">
                  <c:v>Azúl Claro</c:v>
                </c:pt>
                <c:pt idx="2">
                  <c:v>Rojo</c:v>
                </c:pt>
                <c:pt idx="3">
                  <c:v>Blanco</c:v>
                </c:pt>
                <c:pt idx="4">
                  <c:v>Negro</c:v>
                </c:pt>
                <c:pt idx="5">
                  <c:v>Crema</c:v>
                </c:pt>
                <c:pt idx="6">
                  <c:v>Fuscia</c:v>
                </c:pt>
                <c:pt idx="7">
                  <c:v>Rosa Claro</c:v>
                </c:pt>
                <c:pt idx="8">
                  <c:v>Amarillo Pálido</c:v>
                </c:pt>
                <c:pt idx="9">
                  <c:v>Amarillo Chillón</c:v>
                </c:pt>
                <c:pt idx="10">
                  <c:v>Amarillo Matizado</c:v>
                </c:pt>
                <c:pt idx="11">
                  <c:v>Violeta</c:v>
                </c:pt>
                <c:pt idx="12">
                  <c:v>Dos Colores</c:v>
                </c:pt>
                <c:pt idx="13">
                  <c:v>Tres Colores</c:v>
                </c:pt>
              </c:strCache>
            </c:strRef>
          </c:cat>
          <c:val>
            <c:numRef>
              <c:f>GraphicTest!$B$2:$B$15</c:f>
              <c:numCache>
                <c:formatCode>General</c:formatCode>
                <c:ptCount val="14"/>
                <c:pt idx="0">
                  <c:v>21</c:v>
                </c:pt>
                <c:pt idx="1">
                  <c:v>10</c:v>
                </c:pt>
                <c:pt idx="2">
                  <c:v>7</c:v>
                </c:pt>
                <c:pt idx="3">
                  <c:v>8</c:v>
                </c:pt>
                <c:pt idx="4">
                  <c:v>88</c:v>
                </c:pt>
                <c:pt idx="5">
                  <c:v>12</c:v>
                </c:pt>
                <c:pt idx="6">
                  <c:v>14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D4-4EBA-B0C5-6F6F9372EAB5}"/>
            </c:ext>
          </c:extLst>
        </c:ser>
        <c:ser>
          <c:idx val="1"/>
          <c:order val="1"/>
          <c:tx>
            <c:strRef>
              <c:f>GraphicTest!$C$1</c:f>
              <c:strCache>
                <c:ptCount val="1"/>
                <c:pt idx="0">
                  <c:v>Hechas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GraphicTest!$A$2:$A$15</c:f>
              <c:strCache>
                <c:ptCount val="14"/>
                <c:pt idx="0">
                  <c:v>Azúl Navy</c:v>
                </c:pt>
                <c:pt idx="1">
                  <c:v>Azúl Claro</c:v>
                </c:pt>
                <c:pt idx="2">
                  <c:v>Rojo</c:v>
                </c:pt>
                <c:pt idx="3">
                  <c:v>Blanco</c:v>
                </c:pt>
                <c:pt idx="4">
                  <c:v>Negro</c:v>
                </c:pt>
                <c:pt idx="5">
                  <c:v>Crema</c:v>
                </c:pt>
                <c:pt idx="6">
                  <c:v>Fuscia</c:v>
                </c:pt>
                <c:pt idx="7">
                  <c:v>Rosa Claro</c:v>
                </c:pt>
                <c:pt idx="8">
                  <c:v>Amarillo Pálido</c:v>
                </c:pt>
                <c:pt idx="9">
                  <c:v>Amarillo Chillón</c:v>
                </c:pt>
                <c:pt idx="10">
                  <c:v>Amarillo Matizado</c:v>
                </c:pt>
                <c:pt idx="11">
                  <c:v>Violeta</c:v>
                </c:pt>
                <c:pt idx="12">
                  <c:v>Dos Colores</c:v>
                </c:pt>
                <c:pt idx="13">
                  <c:v>Tres Colores</c:v>
                </c:pt>
              </c:strCache>
            </c:strRef>
          </c:cat>
          <c:val>
            <c:numRef>
              <c:f>GraphicTest!$C$2:$C$15</c:f>
              <c:numCache>
                <c:formatCode>General</c:formatCode>
                <c:ptCount val="14"/>
                <c:pt idx="0">
                  <c:v>18</c:v>
                </c:pt>
                <c:pt idx="1">
                  <c:v>10</c:v>
                </c:pt>
                <c:pt idx="2">
                  <c:v>7</c:v>
                </c:pt>
                <c:pt idx="3">
                  <c:v>7</c:v>
                </c:pt>
                <c:pt idx="4">
                  <c:v>75</c:v>
                </c:pt>
                <c:pt idx="5">
                  <c:v>11</c:v>
                </c:pt>
                <c:pt idx="6">
                  <c:v>12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D4-4EBA-B0C5-6F6F9372EAB5}"/>
            </c:ext>
          </c:extLst>
        </c:ser>
        <c:ser>
          <c:idx val="2"/>
          <c:order val="2"/>
          <c:tx>
            <c:strRef>
              <c:f>GraphicTest!$D$1</c:f>
              <c:strCache>
                <c:ptCount val="1"/>
                <c:pt idx="0">
                  <c:v>Entregadas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GraphicTest!$A$2:$A$15</c:f>
              <c:strCache>
                <c:ptCount val="14"/>
                <c:pt idx="0">
                  <c:v>Azúl Navy</c:v>
                </c:pt>
                <c:pt idx="1">
                  <c:v>Azúl Claro</c:v>
                </c:pt>
                <c:pt idx="2">
                  <c:v>Rojo</c:v>
                </c:pt>
                <c:pt idx="3">
                  <c:v>Blanco</c:v>
                </c:pt>
                <c:pt idx="4">
                  <c:v>Negro</c:v>
                </c:pt>
                <c:pt idx="5">
                  <c:v>Crema</c:v>
                </c:pt>
                <c:pt idx="6">
                  <c:v>Fuscia</c:v>
                </c:pt>
                <c:pt idx="7">
                  <c:v>Rosa Claro</c:v>
                </c:pt>
                <c:pt idx="8">
                  <c:v>Amarillo Pálido</c:v>
                </c:pt>
                <c:pt idx="9">
                  <c:v>Amarillo Chillón</c:v>
                </c:pt>
                <c:pt idx="10">
                  <c:v>Amarillo Matizado</c:v>
                </c:pt>
                <c:pt idx="11">
                  <c:v>Violeta</c:v>
                </c:pt>
                <c:pt idx="12">
                  <c:v>Dos Colores</c:v>
                </c:pt>
                <c:pt idx="13">
                  <c:v>Tres Colores</c:v>
                </c:pt>
              </c:strCache>
            </c:strRef>
          </c:cat>
          <c:val>
            <c:numRef>
              <c:f>GraphicTest!$D$2:$D$15</c:f>
              <c:numCache>
                <c:formatCode>General</c:formatCode>
                <c:ptCount val="14"/>
                <c:pt idx="0">
                  <c:v>18</c:v>
                </c:pt>
                <c:pt idx="1">
                  <c:v>10</c:v>
                </c:pt>
                <c:pt idx="2">
                  <c:v>7</c:v>
                </c:pt>
                <c:pt idx="3">
                  <c:v>7</c:v>
                </c:pt>
                <c:pt idx="4">
                  <c:v>75</c:v>
                </c:pt>
                <c:pt idx="5">
                  <c:v>11</c:v>
                </c:pt>
                <c:pt idx="6">
                  <c:v>12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D4-4EBA-B0C5-6F6F9372E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8817903"/>
        <c:axId val="1025976639"/>
      </c:barChart>
      <c:catAx>
        <c:axId val="9088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5976639"/>
        <c:crosses val="autoZero"/>
        <c:auto val="1"/>
        <c:lblAlgn val="ctr"/>
        <c:lblOffset val="100"/>
        <c:noMultiLvlLbl val="0"/>
      </c:catAx>
      <c:valAx>
        <c:axId val="102597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817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99930008748906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0D7-4B94-8379-A39FAE59DAE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0D7-4B94-8379-A39FAE59DAE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0D7-4B94-8379-A39FAE59DA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GraphicTest!$F$1:$H$1</c:f>
              <c:strCache>
                <c:ptCount val="3"/>
                <c:pt idx="0">
                  <c:v>Total Pedidos</c:v>
                </c:pt>
                <c:pt idx="1">
                  <c:v>Hechas</c:v>
                </c:pt>
                <c:pt idx="2">
                  <c:v>Entregadas</c:v>
                </c:pt>
              </c:strCache>
            </c:strRef>
          </c:cat>
          <c:val>
            <c:numRef>
              <c:f>GraphicTest!$F$2:$H$2</c:f>
              <c:numCache>
                <c:formatCode>General</c:formatCode>
                <c:ptCount val="3"/>
                <c:pt idx="0">
                  <c:v>175</c:v>
                </c:pt>
                <c:pt idx="1">
                  <c:v>162</c:v>
                </c:pt>
                <c:pt idx="2">
                  <c:v>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2D-4BC8-B3A5-96BFBB6BC35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GraphicTest!$B$1</c:f>
              <c:strCache>
                <c:ptCount val="1"/>
                <c:pt idx="0">
                  <c:v>Pedidas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8F8E-439C-9528-3BE239159B68}"/>
              </c:ext>
            </c:extLst>
          </c:dPt>
          <c:dPt>
            <c:idx val="1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F8E-439C-9528-3BE239159B68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8F8E-439C-9528-3BE239159B68}"/>
              </c:ext>
            </c:extLst>
          </c:dPt>
          <c:dPt>
            <c:idx val="3"/>
            <c:bubble3D val="0"/>
            <c:spPr>
              <a:solidFill>
                <a:schemeClr val="bg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8E-439C-9528-3BE239159B68}"/>
              </c:ext>
            </c:extLst>
          </c:dPt>
          <c:dPt>
            <c:idx val="4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F8E-439C-9528-3BE239159B68}"/>
              </c:ext>
            </c:extLst>
          </c:dPt>
          <c:dPt>
            <c:idx val="5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F8E-439C-9528-3BE239159B68}"/>
              </c:ext>
            </c:extLst>
          </c:dPt>
          <c:dPt>
            <c:idx val="6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F8E-439C-9528-3BE239159B68}"/>
              </c:ext>
            </c:extLst>
          </c:dPt>
          <c:dPt>
            <c:idx val="7"/>
            <c:bubble3D val="0"/>
            <c:spPr>
              <a:solidFill>
                <a:srgbClr val="FFB7F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8F8E-439C-9528-3BE239159B68}"/>
              </c:ext>
            </c:extLst>
          </c:dPt>
          <c:dPt>
            <c:idx val="8"/>
            <c:bubble3D val="0"/>
            <c:spPr>
              <a:solidFill>
                <a:srgbClr val="F2FF7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8F8E-439C-9528-3BE239159B68}"/>
              </c:ext>
            </c:extLst>
          </c:dPt>
          <c:dPt>
            <c:idx val="9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F8E-439C-9528-3BE239159B68}"/>
              </c:ext>
            </c:extLst>
          </c:dPt>
          <c:dPt>
            <c:idx val="1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8F8E-439C-9528-3BE239159B68}"/>
              </c:ext>
            </c:extLst>
          </c:dPt>
          <c:dPt>
            <c:idx val="11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F8E-439C-9528-3BE239159B68}"/>
              </c:ext>
            </c:extLst>
          </c:dPt>
          <c:dPt>
            <c:idx val="12"/>
            <c:bubble3D val="0"/>
            <c:spPr>
              <a:pattFill prst="wdDnDiag">
                <a:fgClr>
                  <a:srgbClr val="C53975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F8E-439C-9528-3BE239159B68}"/>
              </c:ext>
            </c:extLst>
          </c:dPt>
          <c:dPt>
            <c:idx val="13"/>
            <c:bubble3D val="0"/>
            <c:spPr>
              <a:pattFill prst="lgConfetti">
                <a:fgClr>
                  <a:srgbClr val="C53975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8F8E-439C-9528-3BE239159B68}"/>
              </c:ext>
            </c:extLst>
          </c:dPt>
          <c:cat>
            <c:strRef>
              <c:f>GraphicTest!$A$2:$A$15</c:f>
              <c:strCache>
                <c:ptCount val="14"/>
                <c:pt idx="0">
                  <c:v>Azúl Navy</c:v>
                </c:pt>
                <c:pt idx="1">
                  <c:v>Azúl Claro</c:v>
                </c:pt>
                <c:pt idx="2">
                  <c:v>Rojo</c:v>
                </c:pt>
                <c:pt idx="3">
                  <c:v>Blanco</c:v>
                </c:pt>
                <c:pt idx="4">
                  <c:v>Negro</c:v>
                </c:pt>
                <c:pt idx="5">
                  <c:v>Crema</c:v>
                </c:pt>
                <c:pt idx="6">
                  <c:v>Fuscia</c:v>
                </c:pt>
                <c:pt idx="7">
                  <c:v>Rosa Claro</c:v>
                </c:pt>
                <c:pt idx="8">
                  <c:v>Amarillo Pálido</c:v>
                </c:pt>
                <c:pt idx="9">
                  <c:v>Amarillo Chillón</c:v>
                </c:pt>
                <c:pt idx="10">
                  <c:v>Amarillo Matizado</c:v>
                </c:pt>
                <c:pt idx="11">
                  <c:v>Violeta</c:v>
                </c:pt>
                <c:pt idx="12">
                  <c:v>Dos Colores</c:v>
                </c:pt>
                <c:pt idx="13">
                  <c:v>Tres Colores</c:v>
                </c:pt>
              </c:strCache>
            </c:strRef>
          </c:cat>
          <c:val>
            <c:numRef>
              <c:f>GraphicTest!$B$2:$B$15</c:f>
              <c:numCache>
                <c:formatCode>General</c:formatCode>
                <c:ptCount val="14"/>
                <c:pt idx="0">
                  <c:v>21</c:v>
                </c:pt>
                <c:pt idx="1">
                  <c:v>10</c:v>
                </c:pt>
                <c:pt idx="2">
                  <c:v>7</c:v>
                </c:pt>
                <c:pt idx="3">
                  <c:v>8</c:v>
                </c:pt>
                <c:pt idx="4">
                  <c:v>88</c:v>
                </c:pt>
                <c:pt idx="5">
                  <c:v>12</c:v>
                </c:pt>
                <c:pt idx="6">
                  <c:v>14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8E-439C-9528-3BE239159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404812</xdr:colOff>
      <xdr:row>4</xdr:row>
      <xdr:rowOff>14287</xdr:rowOff>
    </xdr:from>
    <xdr:to>
      <xdr:col>11</xdr:col>
      <xdr:colOff>223837</xdr:colOff>
      <xdr:row>18</xdr:row>
      <xdr:rowOff>90487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BEB69B-1030-49F7-B057-76B49F127C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385762</xdr:colOff>
      <xdr:row>18</xdr:row>
      <xdr:rowOff>176212</xdr:rowOff>
    </xdr:from>
    <xdr:to>
      <xdr:col>11</xdr:col>
      <xdr:colOff>204787</xdr:colOff>
      <xdr:row>33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CF05177-2172-4872-BF47-A8E4890C65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52387</xdr:colOff>
      <xdr:row>18</xdr:row>
      <xdr:rowOff>166687</xdr:rowOff>
    </xdr:from>
    <xdr:to>
      <xdr:col>4</xdr:col>
      <xdr:colOff>261937</xdr:colOff>
      <xdr:row>33</xdr:row>
      <xdr:rowOff>52387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25CF1AE-203F-433F-A194-0BBF8A2367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669263-4469-423C-80A1-F373CE3DF805}" name="tVentas" displayName="tVentas" ref="A1:N112" totalsRowShown="0">
  <autoFilter ref="A1:N112" xr:uid="{14BB8ACE-E2EA-4D98-9335-EA1082A5CA83}"/>
  <tableColumns count="14">
    <tableColumn id="1" xr3:uid="{C950EE7C-FAE0-41F6-98C7-B7AEE53021DB}" name="CodigoCompra">
      <calculatedColumnFormula>ROW(A1)</calculatedColumnFormula>
    </tableColumn>
    <tableColumn id="11" xr3:uid="{B36F919D-0D01-40E6-BFDA-303883BB6E20}" name="NumeroOrden"/>
    <tableColumn id="2" xr3:uid="{74002A8F-3175-44AA-864A-3489225C04EA}" name="Cliente"/>
    <tableColumn id="3" xr3:uid="{B65EC1BC-7E5F-480E-BED3-E1C74ED04269}" name="SubCliente"/>
    <tableColumn id="4" xr3:uid="{F5010A87-B49C-4B64-858A-C256241F538D}" name="Tipo" dataDxfId="34">
      <calculatedColumnFormula>IF($E$1="Tipo","Tejido")</calculatedColumnFormula>
    </tableColumn>
    <tableColumn id="5" xr3:uid="{B169BA88-8406-4445-9F70-78CDCE5E6E76}" name="Color"/>
    <tableColumn id="12" xr3:uid="{02C32E9A-D3DC-4464-992C-1F51D982AD74}" name="Sex" dataDxfId="33">
      <calculatedColumnFormula>IF($G$1="Sex","Female")</calculatedColumnFormula>
    </tableColumn>
    <tableColumn id="6" xr3:uid="{6FC97BF5-5995-4BEA-97D5-9688D428EC1F}" name="Precio" totalsRowDxfId="32" dataCellStyle="Currency" totalsRowCellStyle="Currency"/>
    <tableColumn id="13" xr3:uid="{5B75D251-FC85-4314-819F-836281991C6B}" name="Pagó" dataDxfId="31" dataCellStyle="Currency" totalsRowCellStyle="Currency">
      <calculatedColumnFormula>IF($I$1="Pagó","No")</calculatedColumnFormula>
    </tableColumn>
    <tableColumn id="7" xr3:uid="{029241B8-E7FE-414A-BDCC-F576F9E38391}" name="Cantidad" dataDxfId="30" totalsRowDxfId="29"/>
    <tableColumn id="8" xr3:uid="{0C82D512-7862-49F4-8F47-571F44048273}" name="Fecha"/>
    <tableColumn id="9" xr3:uid="{F44374BF-3061-4137-B214-E142D395F71D}" name="Terminado" dataDxfId="28">
      <calculatedColumnFormula>IF($L$1="Terminado","No")</calculatedColumnFormula>
    </tableColumn>
    <tableColumn id="10" xr3:uid="{107C1F6D-EB22-4110-8881-E2AD14AD2AA4}" name="Entregado" dataDxfId="27">
      <calculatedColumnFormula>IF($M$1="Entregado","No")</calculatedColumnFormula>
    </tableColumn>
    <tableColumn id="14" xr3:uid="{BDEBB425-4148-4DEB-BC25-95AE1A81C54C}" name="FechaPag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31A75D-7F61-4EBA-A192-B9FEA0963164}" name="tclientes" displayName="tclientes" ref="A1:L28" totalsRowShown="0">
  <autoFilter ref="A1:L28" xr:uid="{387191A8-E094-42DC-89B4-F1211E3F6D8C}"/>
  <tableColumns count="12">
    <tableColumn id="1" xr3:uid="{C4CC7091-A0DF-4A46-928B-BB97F1BF5C01}" name="CodeClient">
      <calculatedColumnFormula>ROW(A1)</calculatedColumnFormula>
    </tableColumn>
    <tableColumn id="2" xr3:uid="{150C93DA-7248-4152-ADA1-2A80FD5ACDDF}" name="Nombre"/>
    <tableColumn id="3" xr3:uid="{F27AB613-88D4-40BE-BF79-B1744887A9B3}" name="Teléfono" dataDxfId="26"/>
    <tableColumn id="4" xr3:uid="{65C81691-7AC4-432F-BFF8-72044B1EA60E}" name="Dir1"/>
    <tableColumn id="5" xr3:uid="{84764280-FE14-4355-AE10-58CF41783F0E}" name="Dir2"/>
    <tableColumn id="6" xr3:uid="{41814B54-B834-4DE0-822C-F81317A26F4E}" name="Pueblo" dataDxfId="25">
      <calculatedColumnFormula>IF($F$1="Pueblo","--SELECT--")</calculatedColumnFormula>
    </tableColumn>
    <tableColumn id="7" xr3:uid="{88C0CD8B-5DEA-4736-AC2D-4AC4FE4E8535}" name="Estado"/>
    <tableColumn id="8" xr3:uid="{96E814EA-0887-4081-91D6-23835A38F138}" name="ZipCode" dataDxfId="24"/>
    <tableColumn id="9" xr3:uid="{A50FD851-9133-482E-8650-D158A9B25D22}" name="E-Mail"/>
    <tableColumn id="12" xr3:uid="{147337F7-1C56-4F1C-9E0C-5438CA5A2FF0}" name="Cantidad Pedida" dataDxfId="23">
      <calculatedColumnFormula>SUMIFS(tVentas[Cantidad],tVentas[Cliente],B2)</calculatedColumnFormula>
    </tableColumn>
    <tableColumn id="10" xr3:uid="{B4F42E52-442E-4AD1-A35B-567B6DE46F38}" name="Pedidos" dataCellStyle="Currency">
      <calculatedColumnFormula array="1">SUMPRODUCT(--(tVentas[Cliente]=B2),tVentas[Precio],tVentas[Cantidad])</calculatedColumnFormula>
    </tableColumn>
    <tableColumn id="11" xr3:uid="{9BE10C46-7BDF-41CE-A479-87F218049BDB}" name="PAGAS" dataCellStyle="Currency">
      <calculatedColumnFormula array="1">SUMPRODUCT(--(tVentas[Cliente]=B2),--(tVentas[Pagó]="Sí"),tVentas[Precio],tVentas[Cantidad])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92C1D10-F9FF-4315-9407-1E0EC2C1A7DB}" name="Table13" displayName="Table13" ref="A4:I28" totalsRowShown="0" tableBorderDxfId="22">
  <autoFilter ref="A4:I28" xr:uid="{8BFC1438-099D-47D9-B600-072D4D1A65F5}"/>
  <tableColumns count="9">
    <tableColumn id="1" xr3:uid="{260645ED-DB4B-41E1-97D7-FE301081E40C}" name="CodeClient" dataDxfId="21">
      <calculatedColumnFormula>ROW(A4)</calculatedColumnFormula>
    </tableColumn>
    <tableColumn id="2" xr3:uid="{30FCB8EE-1847-477B-95DE-ED5A79E7CC58}" name="Nombre" dataDxfId="20"/>
    <tableColumn id="3" xr3:uid="{F8EA250B-408F-4714-AE02-DBD937FA1326}" name="Pedidas">
      <calculatedColumnFormula>SUMIF(tVentas[Cliente],B5,tVentas[Cantidad])</calculatedColumnFormula>
    </tableColumn>
    <tableColumn id="4" xr3:uid="{F0AC8F51-F55A-449E-B4D0-555905E67ED8}" name="Hechas" dataDxfId="19">
      <calculatedColumnFormula>SUMIFS(tVentas[Cantidad],tVentas[Cliente],B5,tVentas[Terminado],"Sí")</calculatedColumnFormula>
    </tableColumn>
    <tableColumn id="5" xr3:uid="{E30D8382-6697-414F-84C3-A8BC23176993}" name="Entregadas" dataDxfId="18">
      <calculatedColumnFormula>SUMIFS(tVentas[Cantidad],tVentas[Cliente],B5,tVentas[Entregado],"Sí")</calculatedColumnFormula>
    </tableColumn>
    <tableColumn id="6" xr3:uid="{05DB4030-8CAC-45AD-9E21-8F140DAF8D7A}" name="Gratis" dataDxfId="17">
      <calculatedColumnFormula>SUMIFS(tVentas[Cantidad],tVentas[Cliente],B5,tVentas[Precio],0)</calculatedColumnFormula>
    </tableColumn>
    <tableColumn id="7" xr3:uid="{41800C99-67B5-402E-B9B0-421829F0433E}" name="Pagas" dataDxfId="16">
      <calculatedColumnFormula>SUMIFS(tVentas[Cantidad],tVentas[Cliente],B5,tVentas[Pagó],"Sí")</calculatedColumnFormula>
    </tableColumn>
    <tableColumn id="9" xr3:uid="{62F3D354-8787-48D4-B08B-E07203EA2CD1}" name="Se Deben" dataDxfId="15">
      <calculatedColumnFormula>SUMIFS(tVentas[Cantidad],tVentas[Cliente],B5,tVentas[Entregado],"No")</calculatedColumnFormula>
    </tableColumn>
    <tableColumn id="8" xr3:uid="{549AE5E2-448F-429F-9A9E-28C3617F852F}" name="CantidadesPorColor" dataDxfId="14">
      <calculatedColumnFormula>SUMIFS(tVentas[Cantidad],tVentas[Cliente],B5,tVentas[Color],$A$2)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3F3C711-01BF-4C66-A27C-E17532F15BEC}" name="Table16" displayName="Table16" ref="A1:A2" totalsRowShown="0">
  <autoFilter ref="A1:A2" xr:uid="{50072DCA-A8F9-4244-ADEA-D6383834BE1A}"/>
  <tableColumns count="1">
    <tableColumn id="1" xr3:uid="{79E870EA-8BD3-42D6-8D72-F3A988A4E120}" name="Colo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9209A4-BCCE-4EC1-9340-B3DF5AD01E80}" name="tColorStats" displayName="tColorStats" ref="A4:C19" totalsRowShown="0" headerRowDxfId="13" dataDxfId="11" headerRowBorderDxfId="12" tableBorderDxfId="10" totalsRowBorderDxfId="9">
  <autoFilter ref="A4:C19" xr:uid="{F9AD536A-3B94-4946-9EA8-669329A755FC}"/>
  <tableColumns count="3">
    <tableColumn id="1" xr3:uid="{864965A7-BA92-4F8B-A609-EC15BA787275}" name="Color" dataDxfId="8"/>
    <tableColumn id="3" xr3:uid="{6677935A-4EAD-453F-9214-9E0A8DBA16A3}" name="CantidadesTotal" dataDxfId="7">
      <calculatedColumnFormula>SUMIFS(tVentas[Cantidad],tVentas[Color],A5)</calculatedColumnFormula>
    </tableColumn>
    <tableColumn id="2" xr3:uid="{49F9039B-52B9-4561-81AD-1E7310C2EEA2}" name="CantidadesClienta" dataDxfId="6">
      <calculatedColumnFormula>SUMIFS(tVentas[Cantidad],tVentas[Cliente],$C$2,tVentas[Color],A5)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30A772A-744A-40F0-85B9-7F4560259E72}" name="tClienteColores" displayName="tClienteColores" ref="C1:C2" totalsRowShown="0">
  <autoFilter ref="C1:C2" xr:uid="{E4AA76BE-19E7-47D4-9625-D65830343B0E}"/>
  <tableColumns count="1">
    <tableColumn id="1" xr3:uid="{1B9721AD-9BB6-49DA-85C2-87195B1E36A5}" name="Client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725AB12-9AC5-4DF8-A16A-2A5DF46E985F}" name="tProducts" displayName="tProducts" ref="A1:I58" totalsRowShown="0">
  <autoFilter ref="A1:I58" xr:uid="{223D2E83-9CB5-41AF-AAAF-DAED7EA41E8A}"/>
  <tableColumns count="9">
    <tableColumn id="1" xr3:uid="{D58E3613-3D4A-475A-A438-B2DF42DAA8A5}" name="Descripción"/>
    <tableColumn id="8" xr3:uid="{4A5FD5B8-2B1C-4A64-96A9-23CC73E0D8D6}" name="Tipo"/>
    <tableColumn id="9" xr3:uid="{8F1A308E-5DB0-43B3-8FEF-4EF909E37695}" name="Color"/>
    <tableColumn id="2" xr3:uid="{C9EA8A7B-02E5-40CB-BDA8-623B89E98230}" name="Cantidad"/>
    <tableColumn id="3" xr3:uid="{70BDF080-5947-4970-B550-3694390FFE1E}" name="Tipo2"/>
    <tableColumn id="4" xr3:uid="{C159145C-A5BA-4A56-874E-1EE0FD7AC323}" name="Detal"/>
    <tableColumn id="5" xr3:uid="{A2293D85-F431-4885-9F99-7DEE41C701D8}" name="Precio" dataCellStyle="Currency"/>
    <tableColumn id="6" xr3:uid="{6DBA5429-04DB-4CCA-B186-801B72A86ED7}" name="Fecha"/>
    <tableColumn id="7" xr3:uid="{23202A8B-1FB7-4517-9F44-B325E4F78F87}" name="lugar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52D474D-953B-4C28-9450-6B5ECE4D7A86}" name="tSex" displayName="tSex" ref="A1:B3" totalsRowShown="0">
  <autoFilter ref="A1:B3" xr:uid="{9FC7C003-D9E5-41EF-AAB5-9AB7202D2372}"/>
  <tableColumns count="2">
    <tableColumn id="1" xr3:uid="{DC212FCB-4438-4F14-B2CC-A7124A51DB8A}" name="SexId">
      <calculatedColumnFormula>ROW(A1)</calculatedColumnFormula>
    </tableColumn>
    <tableColumn id="2" xr3:uid="{EA24D604-448A-4277-96A8-D3E4A3826D0C}" name="Sex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9095CA-24B6-4077-8583-2B0ACE44D302}" name="tcostura" displayName="tcostura" ref="A1:B5" totalsRowShown="0">
  <autoFilter ref="A1:B5" xr:uid="{0608FDD7-0545-4F12-92AD-690F195CE653}"/>
  <tableColumns count="2">
    <tableColumn id="1" xr3:uid="{B0411700-B242-44FA-9EC1-3A62F60679B8}" name="TipoCostura"/>
    <tableColumn id="2" xr3:uid="{5DA7426B-FF4D-42DC-8644-273030B505D4}" name="CodeCostur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E83AC-CE8F-4B18-A98A-95C7FD2FA39A}" name="tcolores" displayName="tcolores" ref="A1:B21" totalsRowShown="0">
  <autoFilter ref="A1:B21" xr:uid="{ADF84DBC-ADE0-4D0F-B20D-2B148DE9B8FB}"/>
  <tableColumns count="2">
    <tableColumn id="1" xr3:uid="{9F7CE0BB-BD5D-4558-81FD-FEFE3F1BA011}" name="Color"/>
    <tableColumn id="2" xr3:uid="{844FCA0E-E1CE-403C-ABFB-4E5F5014D966}" name="CodeColor">
      <calculatedColumnFormula>ROW(A1)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C97CD8-4CDD-44BA-A3E7-5DCDB118C87A}" name="tGraph1" displayName="tGraph1" ref="A1:D15" totalsRowShown="0">
  <autoFilter ref="A1:D15" xr:uid="{66F32249-777A-40BB-A26E-56425A42D149}"/>
  <tableColumns count="4">
    <tableColumn id="1" xr3:uid="{72CD1195-DC16-47E7-A280-E89CD7F265CA}" name="Color">
      <calculatedColumnFormula>Colores!A2</calculatedColumnFormula>
    </tableColumn>
    <tableColumn id="2" xr3:uid="{8B46F5E3-8C57-4969-AD5A-9771CAD74ADF}" name="Pedidas" dataDxfId="5">
      <calculatedColumnFormula array="1">SUMIF(rngColorVentas,A2,rngCantidadVentas)</calculatedColumnFormula>
    </tableColumn>
    <tableColumn id="3" xr3:uid="{D5C725F5-0895-41D2-B276-4A4188D46D9C}" name="Hechas" dataDxfId="4">
      <calculatedColumnFormula>SUMIFS(tVentas[Cantidad],tVentas[Color],A2,tVentas[Terminado],"Sí")</calculatedColumnFormula>
    </tableColumn>
    <tableColumn id="4" xr3:uid="{DD80B8F4-D55E-4180-A26D-BFE5194ABC0A}" name="Entregadas" dataDxfId="3">
      <calculatedColumnFormula array="1">SUMIFS(rngCantidadVentas,tVentas[Color],A2,tVentas[Entregado],"Sí")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DC443FE-7BA7-499A-9C5E-7BD8B4D4A303}" name="tGastos" displayName="tGastos" ref="A1:D3" totalsRowShown="0">
  <autoFilter ref="A1:D3" xr:uid="{DA62B184-4254-4D36-8850-8C006CC094C2}"/>
  <tableColumns count="4">
    <tableColumn id="1" xr3:uid="{405B7BAF-B9F8-4E93-84B7-169D1C65368B}" name="CodeExpenditures">
      <calculatedColumnFormula>ROW(A1)</calculatedColumnFormula>
    </tableColumn>
    <tableColumn id="2" xr3:uid="{02634093-30FF-46B9-A4AE-FE5939FD599C}" name="DateExpenditure" dataDxfId="2">
      <calculatedColumnFormula>DATE(2020,5,8)</calculatedColumnFormula>
    </tableColumn>
    <tableColumn id="3" xr3:uid="{EDD9252C-B613-46E9-AAB2-3E4DDE03451E}" name="WhereExpenditure" dataDxfId="1">
      <calculatedColumnFormula>IF(C1="WhereExpenditure","Mundo Telas")</calculatedColumnFormula>
    </tableColumn>
    <tableColumn id="4" xr3:uid="{8B2ECC45-D6ED-4D25-B38E-8717B04540B9}" name="Expenditu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870632B-B146-4426-91F3-40795768EC2E}" name="tTiendas" displayName="tTiendas" ref="H1:I4" totalsRowShown="0">
  <autoFilter ref="H1:I4" xr:uid="{90A2EFFC-74F1-498A-8548-4A26CA673823}"/>
  <tableColumns count="2">
    <tableColumn id="1" xr3:uid="{25D36C4A-5A26-4EEA-A08C-4A4F089B244D}" name="CodeTiendas">
      <calculatedColumnFormula>ROW(A1)</calculatedColumnFormula>
    </tableColumn>
    <tableColumn id="2" xr3:uid="{B96E93CB-FE34-4D24-8CA7-B7840509FB13}" name="Tienda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76F17D-5623-4790-B6ED-7A3D38D44BBC}" name="tprecios" displayName="tprecios" ref="A1:B3" totalsRowShown="0">
  <autoFilter ref="A1:B3" xr:uid="{F94A6A7F-34A9-4F69-B3EC-7366EDB85E7B}"/>
  <tableColumns count="2">
    <tableColumn id="1" xr3:uid="{E02A069E-4987-49AF-937B-B582A46945D0}" name="CodePrecio"/>
    <tableColumn id="2" xr3:uid="{19D1A4C0-8EF5-4881-A647-3BF85C989E9C}" name="Precio" dataCellStyle="Currency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257A6E5-BFFF-476F-8ECD-D64A746A62C1}" name="tPueblos" displayName="tPueblos" ref="A1:B80" totalsRowShown="0">
  <autoFilter ref="A1:B80" xr:uid="{5676B5C6-0429-4142-8AD5-5BEE07606DB2}"/>
  <tableColumns count="2">
    <tableColumn id="1" xr3:uid="{C5AFEECB-D4F5-44FF-A836-ADA0A9D68A0B}" name="codepueblos">
      <calculatedColumnFormula>ROW(A1)</calculatedColumnFormula>
    </tableColumn>
    <tableColumn id="2" xr3:uid="{D3B4E12C-8EBA-4705-9A52-1A0AA1AB4BE4}" name="Pueblo" dataDxfId="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8E7F4ED-4B8D-4588-AD71-763678949A82}" name="tblBol" displayName="tblBol" ref="A1:B3" totalsRowShown="0">
  <autoFilter ref="A1:B3" xr:uid="{8799ECB8-352D-428E-8EEC-4E5B8A11E2E2}"/>
  <tableColumns count="2">
    <tableColumn id="1" xr3:uid="{E8A3DB37-3B49-4CD0-8847-7A53DA16188E}" name="CodeBol"/>
    <tableColumn id="2" xr3:uid="{84F4B34F-349B-4901-B18B-3C6710CA792F}" name="B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6B535-4696-49A6-829B-E61222868B9A}">
  <sheetPr codeName="Sheet1"/>
  <dimension ref="A1:N117"/>
  <sheetViews>
    <sheetView tabSelected="1" topLeftCell="A96" zoomScaleNormal="100" workbookViewId="0">
      <selection activeCell="J116" sqref="J116"/>
    </sheetView>
  </sheetViews>
  <sheetFormatPr defaultRowHeight="15" x14ac:dyDescent="0.25"/>
  <cols>
    <col min="1" max="1" width="16.42578125" bestFit="1" customWidth="1"/>
    <col min="2" max="2" width="16.28515625" bestFit="1" customWidth="1"/>
    <col min="3" max="3" width="15.28515625" bestFit="1" customWidth="1"/>
    <col min="4" max="4" width="15.5703125" bestFit="1" customWidth="1"/>
    <col min="5" max="5" width="7.140625" bestFit="1" customWidth="1"/>
    <col min="6" max="6" width="17.42578125" bestFit="1" customWidth="1"/>
    <col min="7" max="7" width="7.5703125" style="2" bestFit="1" customWidth="1"/>
    <col min="8" max="8" width="10.28515625" style="1" bestFit="1" customWidth="1"/>
    <col min="9" max="9" width="9" bestFit="1" customWidth="1"/>
    <col min="10" max="10" width="11.140625" bestFit="1" customWidth="1"/>
    <col min="11" max="11" width="9.7109375" bestFit="1" customWidth="1"/>
    <col min="12" max="12" width="12.85546875" bestFit="1" customWidth="1"/>
    <col min="13" max="13" width="12.28515625" bestFit="1" customWidth="1"/>
    <col min="14" max="14" width="12.7109375" bestFit="1" customWidth="1"/>
  </cols>
  <sheetData>
    <row r="1" spans="1:14" x14ac:dyDescent="0.25">
      <c r="A1" t="s">
        <v>31</v>
      </c>
      <c r="B1" t="s">
        <v>261</v>
      </c>
      <c r="C1" t="s">
        <v>27</v>
      </c>
      <c r="D1" t="s">
        <v>33</v>
      </c>
      <c r="E1" t="s">
        <v>0</v>
      </c>
      <c r="F1" t="s">
        <v>6</v>
      </c>
      <c r="G1" t="s">
        <v>143</v>
      </c>
      <c r="H1" s="2" t="s">
        <v>28</v>
      </c>
      <c r="I1" s="2" t="s">
        <v>147</v>
      </c>
      <c r="J1" s="1" t="s">
        <v>29</v>
      </c>
      <c r="K1" t="s">
        <v>30</v>
      </c>
      <c r="L1" t="s">
        <v>127</v>
      </c>
      <c r="M1" t="s">
        <v>128</v>
      </c>
      <c r="N1" t="s">
        <v>255</v>
      </c>
    </row>
    <row r="2" spans="1:14" x14ac:dyDescent="0.25">
      <c r="A2">
        <f>ROW(A1)</f>
        <v>1</v>
      </c>
      <c r="B2" t="s">
        <v>262</v>
      </c>
      <c r="C2" t="s">
        <v>21</v>
      </c>
      <c r="D2" t="s">
        <v>150</v>
      </c>
      <c r="E2" t="str">
        <f t="shared" ref="E2:E3" si="0">IF($E$1="Tipo","Tejido")</f>
        <v>Tejido</v>
      </c>
      <c r="F2" t="s">
        <v>17</v>
      </c>
      <c r="G2" t="str">
        <f t="shared" ref="G2:G22" si="1">IF($G$1="Sex","Female")</f>
        <v>Female</v>
      </c>
      <c r="H2" s="2">
        <v>3</v>
      </c>
      <c r="I2" s="5" t="s">
        <v>131</v>
      </c>
      <c r="J2" s="1">
        <v>2</v>
      </c>
      <c r="L2" t="s">
        <v>131</v>
      </c>
      <c r="M2" t="s">
        <v>131</v>
      </c>
    </row>
    <row r="3" spans="1:14" x14ac:dyDescent="0.25">
      <c r="A3">
        <f t="shared" ref="A3:A22" si="2">ROW(A2)</f>
        <v>2</v>
      </c>
      <c r="B3" t="s">
        <v>262</v>
      </c>
      <c r="C3" t="s">
        <v>21</v>
      </c>
      <c r="D3" t="s">
        <v>150</v>
      </c>
      <c r="E3" t="str">
        <f t="shared" si="0"/>
        <v>Tejido</v>
      </c>
      <c r="F3" t="s">
        <v>7</v>
      </c>
      <c r="G3" t="str">
        <f t="shared" si="1"/>
        <v>Female</v>
      </c>
      <c r="H3" s="2">
        <v>3</v>
      </c>
      <c r="I3" s="5" t="s">
        <v>131</v>
      </c>
      <c r="J3" s="1">
        <v>1</v>
      </c>
      <c r="L3" t="s">
        <v>131</v>
      </c>
      <c r="M3" t="s">
        <v>131</v>
      </c>
    </row>
    <row r="4" spans="1:14" x14ac:dyDescent="0.25">
      <c r="A4">
        <f t="shared" si="2"/>
        <v>3</v>
      </c>
      <c r="B4" t="s">
        <v>262</v>
      </c>
      <c r="C4" t="s">
        <v>21</v>
      </c>
      <c r="D4" t="s">
        <v>21</v>
      </c>
      <c r="E4" s="5" t="str">
        <f t="shared" ref="E4:E9" si="3">IF($E$1="Tipo","Tejido")</f>
        <v>Tejido</v>
      </c>
      <c r="F4" t="s">
        <v>17</v>
      </c>
      <c r="G4" t="str">
        <f t="shared" si="1"/>
        <v>Female</v>
      </c>
      <c r="H4" s="2">
        <v>0</v>
      </c>
      <c r="I4" s="5" t="s">
        <v>131</v>
      </c>
      <c r="J4" s="1">
        <v>1</v>
      </c>
      <c r="L4" s="5" t="s">
        <v>131</v>
      </c>
      <c r="M4" s="5" t="s">
        <v>131</v>
      </c>
    </row>
    <row r="5" spans="1:14" x14ac:dyDescent="0.25">
      <c r="A5">
        <f t="shared" si="2"/>
        <v>4</v>
      </c>
      <c r="B5" t="s">
        <v>262</v>
      </c>
      <c r="C5" t="s">
        <v>21</v>
      </c>
      <c r="D5" t="s">
        <v>21</v>
      </c>
      <c r="E5" s="5" t="str">
        <f t="shared" si="3"/>
        <v>Tejido</v>
      </c>
      <c r="F5" t="s">
        <v>14</v>
      </c>
      <c r="G5" t="str">
        <f t="shared" si="1"/>
        <v>Female</v>
      </c>
      <c r="H5" s="2">
        <v>0</v>
      </c>
      <c r="I5" s="5" t="s">
        <v>131</v>
      </c>
      <c r="J5" s="1">
        <v>1</v>
      </c>
      <c r="L5" s="5" t="s">
        <v>131</v>
      </c>
      <c r="M5" s="5" t="s">
        <v>131</v>
      </c>
    </row>
    <row r="6" spans="1:14" x14ac:dyDescent="0.25">
      <c r="A6">
        <f t="shared" si="2"/>
        <v>5</v>
      </c>
      <c r="B6" t="s">
        <v>262</v>
      </c>
      <c r="C6" t="s">
        <v>21</v>
      </c>
      <c r="D6" t="s">
        <v>21</v>
      </c>
      <c r="E6" s="5" t="str">
        <f t="shared" si="3"/>
        <v>Tejido</v>
      </c>
      <c r="F6" t="s">
        <v>7</v>
      </c>
      <c r="G6" t="str">
        <f t="shared" si="1"/>
        <v>Female</v>
      </c>
      <c r="H6" s="2">
        <v>0</v>
      </c>
      <c r="I6" s="5" t="s">
        <v>131</v>
      </c>
      <c r="J6" s="1">
        <v>1</v>
      </c>
      <c r="L6" s="5" t="s">
        <v>131</v>
      </c>
      <c r="M6" s="5" t="s">
        <v>131</v>
      </c>
    </row>
    <row r="7" spans="1:14" x14ac:dyDescent="0.25">
      <c r="A7">
        <f t="shared" si="2"/>
        <v>6</v>
      </c>
      <c r="B7" t="s">
        <v>262</v>
      </c>
      <c r="C7" t="s">
        <v>21</v>
      </c>
      <c r="D7" t="s">
        <v>21</v>
      </c>
      <c r="E7" s="5" t="str">
        <f t="shared" si="3"/>
        <v>Tejido</v>
      </c>
      <c r="F7" t="s">
        <v>10</v>
      </c>
      <c r="G7" t="str">
        <f t="shared" si="1"/>
        <v>Female</v>
      </c>
      <c r="H7" s="2">
        <v>0</v>
      </c>
      <c r="I7" s="5" t="s">
        <v>131</v>
      </c>
      <c r="J7" s="1">
        <v>1</v>
      </c>
      <c r="L7" s="5" t="s">
        <v>131</v>
      </c>
      <c r="M7" s="5" t="s">
        <v>131</v>
      </c>
    </row>
    <row r="8" spans="1:14" x14ac:dyDescent="0.25">
      <c r="A8">
        <f t="shared" si="2"/>
        <v>7</v>
      </c>
      <c r="B8" t="s">
        <v>262</v>
      </c>
      <c r="C8" t="s">
        <v>21</v>
      </c>
      <c r="D8" t="s">
        <v>21</v>
      </c>
      <c r="E8" s="5" t="str">
        <f t="shared" si="3"/>
        <v>Tejido</v>
      </c>
      <c r="F8" t="s">
        <v>11</v>
      </c>
      <c r="G8" t="str">
        <f t="shared" si="1"/>
        <v>Female</v>
      </c>
      <c r="H8" s="2">
        <v>0</v>
      </c>
      <c r="I8" s="5" t="s">
        <v>131</v>
      </c>
      <c r="J8" s="1">
        <v>1</v>
      </c>
      <c r="L8" s="5" t="s">
        <v>131</v>
      </c>
      <c r="M8" s="5" t="s">
        <v>131</v>
      </c>
    </row>
    <row r="9" spans="1:14" x14ac:dyDescent="0.25">
      <c r="A9">
        <f t="shared" si="2"/>
        <v>8</v>
      </c>
      <c r="B9" t="s">
        <v>262</v>
      </c>
      <c r="C9" t="s">
        <v>21</v>
      </c>
      <c r="D9" t="s">
        <v>21</v>
      </c>
      <c r="E9" s="5" t="str">
        <f t="shared" si="3"/>
        <v>Tejido</v>
      </c>
      <c r="F9" t="s">
        <v>9</v>
      </c>
      <c r="G9" t="str">
        <f t="shared" si="1"/>
        <v>Female</v>
      </c>
      <c r="H9" s="2">
        <v>0</v>
      </c>
      <c r="I9" s="5" t="s">
        <v>131</v>
      </c>
      <c r="J9" s="1">
        <v>2</v>
      </c>
      <c r="L9" s="5" t="s">
        <v>131</v>
      </c>
      <c r="M9" s="5" t="s">
        <v>131</v>
      </c>
    </row>
    <row r="10" spans="1:14" x14ac:dyDescent="0.25">
      <c r="A10">
        <f t="shared" si="2"/>
        <v>9</v>
      </c>
      <c r="B10" t="s">
        <v>264</v>
      </c>
      <c r="C10" t="s">
        <v>47</v>
      </c>
      <c r="D10" t="s">
        <v>139</v>
      </c>
      <c r="E10" s="5" t="str">
        <f t="shared" ref="E10:E14" si="4">IF($E$1="Tipo","Tejido")</f>
        <v>Tejido</v>
      </c>
      <c r="F10" t="s">
        <v>9</v>
      </c>
      <c r="G10" t="str">
        <f t="shared" si="1"/>
        <v>Female</v>
      </c>
      <c r="H10" s="2">
        <v>0</v>
      </c>
      <c r="I10" s="5" t="s">
        <v>131</v>
      </c>
      <c r="J10" s="1">
        <v>1</v>
      </c>
      <c r="L10" s="5" t="s">
        <v>131</v>
      </c>
      <c r="M10" s="5" t="s">
        <v>131</v>
      </c>
    </row>
    <row r="11" spans="1:14" x14ac:dyDescent="0.25">
      <c r="A11">
        <f t="shared" si="2"/>
        <v>10</v>
      </c>
      <c r="B11" t="s">
        <v>265</v>
      </c>
      <c r="C11" t="s">
        <v>23</v>
      </c>
      <c r="D11" t="s">
        <v>23</v>
      </c>
      <c r="E11" s="5" t="str">
        <f t="shared" si="4"/>
        <v>Tejido</v>
      </c>
      <c r="F11" t="s">
        <v>9</v>
      </c>
      <c r="G11" t="str">
        <f t="shared" si="1"/>
        <v>Female</v>
      </c>
      <c r="H11" s="2">
        <v>0</v>
      </c>
      <c r="I11" s="5" t="s">
        <v>131</v>
      </c>
      <c r="J11" s="1">
        <v>1</v>
      </c>
      <c r="L11" s="5" t="s">
        <v>131</v>
      </c>
      <c r="M11" s="5" t="s">
        <v>131</v>
      </c>
    </row>
    <row r="12" spans="1:14" x14ac:dyDescent="0.25">
      <c r="A12">
        <f t="shared" si="2"/>
        <v>11</v>
      </c>
      <c r="B12" t="s">
        <v>265</v>
      </c>
      <c r="C12" t="s">
        <v>23</v>
      </c>
      <c r="D12" t="s">
        <v>23</v>
      </c>
      <c r="E12" s="5" t="str">
        <f t="shared" si="4"/>
        <v>Tejido</v>
      </c>
      <c r="F12" t="s">
        <v>16</v>
      </c>
      <c r="G12" t="str">
        <f t="shared" si="1"/>
        <v>Female</v>
      </c>
      <c r="H12" s="2">
        <v>0</v>
      </c>
      <c r="I12" s="5" t="s">
        <v>131</v>
      </c>
      <c r="J12" s="1">
        <v>1</v>
      </c>
      <c r="L12" s="5" t="s">
        <v>131</v>
      </c>
      <c r="M12" s="5" t="s">
        <v>131</v>
      </c>
    </row>
    <row r="13" spans="1:14" x14ac:dyDescent="0.25">
      <c r="A13">
        <f t="shared" si="2"/>
        <v>12</v>
      </c>
      <c r="B13" t="s">
        <v>266</v>
      </c>
      <c r="C13" t="s">
        <v>40</v>
      </c>
      <c r="D13" t="s">
        <v>40</v>
      </c>
      <c r="E13" s="5" t="str">
        <f t="shared" si="4"/>
        <v>Tejido</v>
      </c>
      <c r="F13" t="s">
        <v>8</v>
      </c>
      <c r="G13" t="str">
        <f t="shared" si="1"/>
        <v>Female</v>
      </c>
      <c r="H13" s="2">
        <v>0</v>
      </c>
      <c r="I13" s="5" t="s">
        <v>131</v>
      </c>
      <c r="J13" s="1">
        <v>1</v>
      </c>
      <c r="L13" s="5" t="s">
        <v>131</v>
      </c>
      <c r="M13" s="5" t="s">
        <v>131</v>
      </c>
    </row>
    <row r="14" spans="1:14" x14ac:dyDescent="0.25">
      <c r="A14">
        <f t="shared" si="2"/>
        <v>13</v>
      </c>
      <c r="B14" t="s">
        <v>266</v>
      </c>
      <c r="C14" t="s">
        <v>40</v>
      </c>
      <c r="D14" t="s">
        <v>40</v>
      </c>
      <c r="E14" s="5" t="str">
        <f t="shared" si="4"/>
        <v>Tejido</v>
      </c>
      <c r="F14" t="s">
        <v>9</v>
      </c>
      <c r="G14" t="str">
        <f t="shared" si="1"/>
        <v>Female</v>
      </c>
      <c r="H14" s="2">
        <v>0</v>
      </c>
      <c r="I14" s="5" t="s">
        <v>131</v>
      </c>
      <c r="J14" s="1">
        <v>1</v>
      </c>
      <c r="L14" s="5" t="s">
        <v>131</v>
      </c>
      <c r="M14" s="5" t="s">
        <v>131</v>
      </c>
    </row>
    <row r="15" spans="1:14" x14ac:dyDescent="0.25">
      <c r="A15">
        <f t="shared" si="2"/>
        <v>14</v>
      </c>
      <c r="B15" t="s">
        <v>267</v>
      </c>
      <c r="C15" t="s">
        <v>40</v>
      </c>
      <c r="D15" t="s">
        <v>40</v>
      </c>
      <c r="E15" s="5" t="str">
        <f>IF($E$1="Tipo","Tejido")</f>
        <v>Tejido</v>
      </c>
      <c r="F15" t="s">
        <v>15</v>
      </c>
      <c r="G15" t="str">
        <f t="shared" si="1"/>
        <v>Female</v>
      </c>
      <c r="H15" s="2">
        <v>3</v>
      </c>
      <c r="I15" s="5" t="s">
        <v>131</v>
      </c>
      <c r="J15" s="1">
        <v>1</v>
      </c>
      <c r="L15" s="5" t="s">
        <v>131</v>
      </c>
      <c r="M15" s="5" t="s">
        <v>131</v>
      </c>
    </row>
    <row r="16" spans="1:14" x14ac:dyDescent="0.25">
      <c r="A16">
        <f t="shared" si="2"/>
        <v>15</v>
      </c>
      <c r="B16" t="s">
        <v>268</v>
      </c>
      <c r="C16" t="s">
        <v>44</v>
      </c>
      <c r="D16" t="s">
        <v>44</v>
      </c>
      <c r="E16" s="5" t="str">
        <f>IF($E$1="Tipo","Tejido")</f>
        <v>Tejido</v>
      </c>
      <c r="F16" t="s">
        <v>7</v>
      </c>
      <c r="G16" t="str">
        <f t="shared" si="1"/>
        <v>Female</v>
      </c>
      <c r="H16" s="2">
        <v>0</v>
      </c>
      <c r="I16" s="5" t="s">
        <v>131</v>
      </c>
      <c r="J16" s="1">
        <v>1</v>
      </c>
      <c r="L16" s="5" t="s">
        <v>131</v>
      </c>
      <c r="M16" s="5" t="s">
        <v>131</v>
      </c>
    </row>
    <row r="17" spans="1:13" x14ac:dyDescent="0.25">
      <c r="A17">
        <f t="shared" si="2"/>
        <v>16</v>
      </c>
      <c r="B17" t="s">
        <v>269</v>
      </c>
      <c r="C17" t="s">
        <v>44</v>
      </c>
      <c r="D17" t="s">
        <v>140</v>
      </c>
      <c r="E17" s="5" t="str">
        <f>IF($E$1="Tipo","Tejido")</f>
        <v>Tejido</v>
      </c>
      <c r="F17" t="s">
        <v>18</v>
      </c>
      <c r="G17" t="str">
        <f t="shared" si="1"/>
        <v>Female</v>
      </c>
      <c r="H17" s="2">
        <v>0</v>
      </c>
      <c r="I17" s="5" t="s">
        <v>131</v>
      </c>
      <c r="J17" s="1">
        <v>1</v>
      </c>
      <c r="L17" s="5" t="s">
        <v>131</v>
      </c>
      <c r="M17" s="5" t="s">
        <v>131</v>
      </c>
    </row>
    <row r="18" spans="1:13" x14ac:dyDescent="0.25">
      <c r="A18">
        <f t="shared" si="2"/>
        <v>17</v>
      </c>
      <c r="B18" t="s">
        <v>269</v>
      </c>
      <c r="C18" t="s">
        <v>44</v>
      </c>
      <c r="D18" t="s">
        <v>42</v>
      </c>
      <c r="E18" s="5" t="str">
        <f>IF($E$1="Tipo","Tejido")</f>
        <v>Tejido</v>
      </c>
      <c r="F18" t="s">
        <v>9</v>
      </c>
      <c r="G18" t="str">
        <f t="shared" si="1"/>
        <v>Female</v>
      </c>
      <c r="H18" s="2">
        <v>0</v>
      </c>
      <c r="I18" s="5" t="s">
        <v>131</v>
      </c>
      <c r="J18" s="1">
        <v>1</v>
      </c>
      <c r="L18" s="5" t="s">
        <v>131</v>
      </c>
      <c r="M18" s="5" t="s">
        <v>131</v>
      </c>
    </row>
    <row r="19" spans="1:13" x14ac:dyDescent="0.25">
      <c r="A19">
        <f t="shared" si="2"/>
        <v>18</v>
      </c>
      <c r="B19" t="s">
        <v>270</v>
      </c>
      <c r="C19" t="s">
        <v>43</v>
      </c>
      <c r="D19" t="s">
        <v>43</v>
      </c>
      <c r="E19" s="5" t="str">
        <f>IF($E$1="Tipo","Tejido")</f>
        <v>Tejido</v>
      </c>
      <c r="F19" t="s">
        <v>133</v>
      </c>
      <c r="G19" t="str">
        <f t="shared" si="1"/>
        <v>Female</v>
      </c>
      <c r="H19" s="2">
        <v>0</v>
      </c>
      <c r="I19" s="5" t="s">
        <v>131</v>
      </c>
      <c r="J19" s="1">
        <v>2</v>
      </c>
      <c r="K19" s="7">
        <v>43957</v>
      </c>
      <c r="L19" s="5" t="s">
        <v>131</v>
      </c>
      <c r="M19" s="5" t="s">
        <v>131</v>
      </c>
    </row>
    <row r="20" spans="1:13" x14ac:dyDescent="0.25">
      <c r="A20">
        <f t="shared" si="2"/>
        <v>19</v>
      </c>
      <c r="B20" t="s">
        <v>269</v>
      </c>
      <c r="C20" t="s">
        <v>44</v>
      </c>
      <c r="D20" t="s">
        <v>42</v>
      </c>
      <c r="E20" s="5" t="str">
        <f t="shared" ref="E20:E22" si="5">IF($E$1="Tipo","Tejido")</f>
        <v>Tejido</v>
      </c>
      <c r="F20" t="s">
        <v>9</v>
      </c>
      <c r="G20" t="str">
        <f t="shared" si="1"/>
        <v>Female</v>
      </c>
      <c r="H20" s="2">
        <v>3</v>
      </c>
      <c r="I20" s="5" t="s">
        <v>131</v>
      </c>
      <c r="J20" s="1">
        <v>7</v>
      </c>
      <c r="K20" s="7">
        <v>43957</v>
      </c>
      <c r="L20" s="5" t="s">
        <v>131</v>
      </c>
      <c r="M20" s="5" t="s">
        <v>131</v>
      </c>
    </row>
    <row r="21" spans="1:13" x14ac:dyDescent="0.25">
      <c r="A21">
        <f t="shared" si="2"/>
        <v>20</v>
      </c>
      <c r="B21" t="s">
        <v>269</v>
      </c>
      <c r="C21" t="s">
        <v>44</v>
      </c>
      <c r="D21" t="s">
        <v>42</v>
      </c>
      <c r="E21" s="5" t="str">
        <f t="shared" si="5"/>
        <v>Tejido</v>
      </c>
      <c r="F21" t="s">
        <v>8</v>
      </c>
      <c r="G21" t="str">
        <f t="shared" si="1"/>
        <v>Female</v>
      </c>
      <c r="H21" s="2">
        <v>3</v>
      </c>
      <c r="I21" s="5" t="s">
        <v>131</v>
      </c>
      <c r="J21" s="1">
        <v>1</v>
      </c>
      <c r="K21" s="7">
        <v>43957</v>
      </c>
      <c r="L21" s="5" t="s">
        <v>131</v>
      </c>
      <c r="M21" s="5" t="s">
        <v>131</v>
      </c>
    </row>
    <row r="22" spans="1:13" x14ac:dyDescent="0.25">
      <c r="A22">
        <f t="shared" si="2"/>
        <v>21</v>
      </c>
      <c r="B22" t="s">
        <v>269</v>
      </c>
      <c r="C22" t="s">
        <v>44</v>
      </c>
      <c r="D22" t="s">
        <v>42</v>
      </c>
      <c r="E22" s="5" t="str">
        <f t="shared" si="5"/>
        <v>Tejido</v>
      </c>
      <c r="F22" t="s">
        <v>14</v>
      </c>
      <c r="G22" t="str">
        <f t="shared" si="1"/>
        <v>Female</v>
      </c>
      <c r="H22" s="2">
        <v>3</v>
      </c>
      <c r="I22" s="5" t="s">
        <v>131</v>
      </c>
      <c r="J22" s="1">
        <v>1</v>
      </c>
      <c r="K22" s="7">
        <v>43957</v>
      </c>
      <c r="L22" s="5" t="s">
        <v>131</v>
      </c>
      <c r="M22" s="5" t="s">
        <v>131</v>
      </c>
    </row>
    <row r="23" spans="1:13" x14ac:dyDescent="0.25">
      <c r="A23">
        <f t="shared" ref="A23:A55" si="6">ROW(A22)</f>
        <v>22</v>
      </c>
      <c r="B23" t="s">
        <v>271</v>
      </c>
      <c r="C23" t="s">
        <v>21</v>
      </c>
      <c r="D23" t="s">
        <v>141</v>
      </c>
      <c r="E23" s="5" t="str">
        <f t="shared" ref="E23:E55" si="7">IF($E$1="Tipo","Tejido")</f>
        <v>Tejido</v>
      </c>
      <c r="F23" t="s">
        <v>9</v>
      </c>
      <c r="G23" t="s">
        <v>144</v>
      </c>
      <c r="H23" s="2">
        <v>3</v>
      </c>
      <c r="I23" s="5" t="s">
        <v>131</v>
      </c>
      <c r="J23" s="1">
        <v>2</v>
      </c>
      <c r="K23" s="7">
        <v>43957</v>
      </c>
      <c r="L23" s="5" t="s">
        <v>131</v>
      </c>
      <c r="M23" s="5" t="s">
        <v>131</v>
      </c>
    </row>
    <row r="24" spans="1:13" x14ac:dyDescent="0.25">
      <c r="A24">
        <f t="shared" si="6"/>
        <v>23</v>
      </c>
      <c r="B24" t="s">
        <v>271</v>
      </c>
      <c r="C24" t="s">
        <v>21</v>
      </c>
      <c r="D24" t="s">
        <v>41</v>
      </c>
      <c r="E24" s="5" t="str">
        <f t="shared" si="7"/>
        <v>Tejido</v>
      </c>
      <c r="F24" t="s">
        <v>11</v>
      </c>
      <c r="G24" s="5" t="str">
        <f t="shared" ref="G24:G37" si="8">IF($G$1="Sex","Female")</f>
        <v>Female</v>
      </c>
      <c r="H24" s="2">
        <v>3</v>
      </c>
      <c r="I24" s="5" t="s">
        <v>131</v>
      </c>
      <c r="J24" s="1">
        <v>1</v>
      </c>
      <c r="K24" s="7">
        <v>43957</v>
      </c>
      <c r="L24" s="5" t="s">
        <v>131</v>
      </c>
      <c r="M24" s="5" t="s">
        <v>131</v>
      </c>
    </row>
    <row r="25" spans="1:13" x14ac:dyDescent="0.25">
      <c r="A25">
        <f t="shared" si="6"/>
        <v>24</v>
      </c>
      <c r="B25" t="s">
        <v>271</v>
      </c>
      <c r="C25" t="s">
        <v>21</v>
      </c>
      <c r="D25" t="s">
        <v>41</v>
      </c>
      <c r="E25" s="5" t="str">
        <f t="shared" si="7"/>
        <v>Tejido</v>
      </c>
      <c r="F25" t="s">
        <v>9</v>
      </c>
      <c r="G25" s="5" t="str">
        <f t="shared" si="8"/>
        <v>Female</v>
      </c>
      <c r="H25" s="2">
        <v>3</v>
      </c>
      <c r="I25" s="5" t="s">
        <v>131</v>
      </c>
      <c r="J25" s="1">
        <v>2</v>
      </c>
      <c r="K25" s="7">
        <v>43957</v>
      </c>
      <c r="L25" s="5" t="s">
        <v>131</v>
      </c>
      <c r="M25" s="5" t="s">
        <v>131</v>
      </c>
    </row>
    <row r="26" spans="1:13" x14ac:dyDescent="0.25">
      <c r="A26">
        <f t="shared" si="6"/>
        <v>25</v>
      </c>
      <c r="B26" t="s">
        <v>271</v>
      </c>
      <c r="C26" t="s">
        <v>21</v>
      </c>
      <c r="D26" t="s">
        <v>41</v>
      </c>
      <c r="E26" s="5" t="str">
        <f t="shared" si="7"/>
        <v>Tejido</v>
      </c>
      <c r="F26" t="s">
        <v>146</v>
      </c>
      <c r="G26" s="5" t="str">
        <f t="shared" si="8"/>
        <v>Female</v>
      </c>
      <c r="H26" s="2">
        <v>3</v>
      </c>
      <c r="I26" s="5" t="s">
        <v>131</v>
      </c>
      <c r="J26" s="1">
        <v>2</v>
      </c>
      <c r="K26" s="7">
        <v>43957</v>
      </c>
      <c r="L26" s="5" t="s">
        <v>131</v>
      </c>
      <c r="M26" s="5" t="s">
        <v>131</v>
      </c>
    </row>
    <row r="27" spans="1:13" x14ac:dyDescent="0.25">
      <c r="A27">
        <f t="shared" si="6"/>
        <v>26</v>
      </c>
      <c r="B27" t="s">
        <v>271</v>
      </c>
      <c r="C27" t="s">
        <v>21</v>
      </c>
      <c r="D27" t="s">
        <v>41</v>
      </c>
      <c r="E27" s="5" t="str">
        <f t="shared" si="7"/>
        <v>Tejido</v>
      </c>
      <c r="F27" t="s">
        <v>10</v>
      </c>
      <c r="G27" s="5" t="str">
        <f t="shared" si="8"/>
        <v>Female</v>
      </c>
      <c r="H27" s="2">
        <v>3</v>
      </c>
      <c r="I27" s="5" t="s">
        <v>131</v>
      </c>
      <c r="J27" s="1">
        <v>2</v>
      </c>
      <c r="K27" s="7">
        <v>43957</v>
      </c>
      <c r="L27" s="5" t="s">
        <v>131</v>
      </c>
      <c r="M27" s="5" t="s">
        <v>131</v>
      </c>
    </row>
    <row r="28" spans="1:13" x14ac:dyDescent="0.25">
      <c r="A28">
        <f t="shared" si="6"/>
        <v>27</v>
      </c>
      <c r="B28" t="s">
        <v>271</v>
      </c>
      <c r="C28" t="s">
        <v>21</v>
      </c>
      <c r="D28" t="s">
        <v>41</v>
      </c>
      <c r="E28" s="5" t="str">
        <f t="shared" si="7"/>
        <v>Tejido</v>
      </c>
      <c r="F28" t="s">
        <v>8</v>
      </c>
      <c r="G28" s="5" t="str">
        <f t="shared" si="8"/>
        <v>Female</v>
      </c>
      <c r="H28" s="2">
        <v>3</v>
      </c>
      <c r="I28" s="5" t="s">
        <v>131</v>
      </c>
      <c r="J28" s="1">
        <v>1</v>
      </c>
      <c r="K28" s="7">
        <v>43957</v>
      </c>
      <c r="L28" s="5" t="s">
        <v>131</v>
      </c>
      <c r="M28" s="5" t="s">
        <v>131</v>
      </c>
    </row>
    <row r="29" spans="1:13" x14ac:dyDescent="0.25">
      <c r="A29">
        <f t="shared" si="6"/>
        <v>28</v>
      </c>
      <c r="B29" t="s">
        <v>271</v>
      </c>
      <c r="C29" t="s">
        <v>21</v>
      </c>
      <c r="D29" t="s">
        <v>41</v>
      </c>
      <c r="E29" s="5" t="str">
        <f t="shared" si="7"/>
        <v>Tejido</v>
      </c>
      <c r="F29" t="s">
        <v>14</v>
      </c>
      <c r="G29" s="5" t="str">
        <f t="shared" si="8"/>
        <v>Female</v>
      </c>
      <c r="H29" s="2">
        <v>3</v>
      </c>
      <c r="I29" s="5" t="s">
        <v>131</v>
      </c>
      <c r="J29" s="1">
        <v>1</v>
      </c>
      <c r="K29" s="7">
        <v>43957</v>
      </c>
      <c r="L29" s="5" t="s">
        <v>131</v>
      </c>
      <c r="M29" s="5" t="s">
        <v>131</v>
      </c>
    </row>
    <row r="30" spans="1:13" x14ac:dyDescent="0.25">
      <c r="A30">
        <f t="shared" si="6"/>
        <v>29</v>
      </c>
      <c r="B30" t="s">
        <v>271</v>
      </c>
      <c r="C30" t="s">
        <v>21</v>
      </c>
      <c r="D30" t="s">
        <v>148</v>
      </c>
      <c r="E30" s="5" t="str">
        <f t="shared" si="7"/>
        <v>Tejido</v>
      </c>
      <c r="F30" t="s">
        <v>9</v>
      </c>
      <c r="G30" s="5" t="str">
        <f t="shared" si="8"/>
        <v>Female</v>
      </c>
      <c r="H30" s="2">
        <v>3</v>
      </c>
      <c r="I30" s="6" t="s">
        <v>131</v>
      </c>
      <c r="J30" s="1">
        <v>1</v>
      </c>
      <c r="K30" s="7">
        <v>43957</v>
      </c>
      <c r="L30" s="5" t="s">
        <v>131</v>
      </c>
      <c r="M30" s="5" t="s">
        <v>131</v>
      </c>
    </row>
    <row r="31" spans="1:13" x14ac:dyDescent="0.25">
      <c r="A31">
        <f t="shared" si="6"/>
        <v>30</v>
      </c>
      <c r="B31" t="s">
        <v>271</v>
      </c>
      <c r="C31" t="s">
        <v>21</v>
      </c>
      <c r="D31" t="s">
        <v>149</v>
      </c>
      <c r="E31" s="5" t="str">
        <f t="shared" si="7"/>
        <v>Tejido</v>
      </c>
      <c r="F31" t="s">
        <v>7</v>
      </c>
      <c r="G31" s="5" t="str">
        <f t="shared" si="8"/>
        <v>Female</v>
      </c>
      <c r="H31" s="2">
        <v>3</v>
      </c>
      <c r="I31" s="6" t="s">
        <v>131</v>
      </c>
      <c r="J31" s="1">
        <v>1</v>
      </c>
      <c r="K31" s="7">
        <v>43957</v>
      </c>
      <c r="L31" s="5" t="s">
        <v>131</v>
      </c>
      <c r="M31" s="5" t="s">
        <v>131</v>
      </c>
    </row>
    <row r="32" spans="1:13" x14ac:dyDescent="0.25">
      <c r="A32">
        <f t="shared" si="6"/>
        <v>31</v>
      </c>
      <c r="B32" t="s">
        <v>271</v>
      </c>
      <c r="C32" t="s">
        <v>21</v>
      </c>
      <c r="D32" t="s">
        <v>150</v>
      </c>
      <c r="E32" s="5" t="str">
        <f t="shared" si="7"/>
        <v>Tejido</v>
      </c>
      <c r="F32" t="s">
        <v>9</v>
      </c>
      <c r="G32" s="5" t="str">
        <f t="shared" si="8"/>
        <v>Female</v>
      </c>
      <c r="H32" s="2">
        <v>3</v>
      </c>
      <c r="I32" s="6" t="s">
        <v>131</v>
      </c>
      <c r="J32" s="1">
        <v>1</v>
      </c>
      <c r="K32" s="7">
        <v>43957</v>
      </c>
      <c r="L32" s="5" t="s">
        <v>131</v>
      </c>
      <c r="M32" s="5" t="s">
        <v>131</v>
      </c>
    </row>
    <row r="33" spans="1:13" x14ac:dyDescent="0.25">
      <c r="A33">
        <f t="shared" si="6"/>
        <v>32</v>
      </c>
      <c r="B33" t="s">
        <v>271</v>
      </c>
      <c r="C33" t="s">
        <v>21</v>
      </c>
      <c r="D33" t="s">
        <v>150</v>
      </c>
      <c r="E33" s="5" t="str">
        <f t="shared" si="7"/>
        <v>Tejido</v>
      </c>
      <c r="F33" t="s">
        <v>14</v>
      </c>
      <c r="G33" s="5" t="str">
        <f t="shared" si="8"/>
        <v>Female</v>
      </c>
      <c r="H33" s="2">
        <v>3</v>
      </c>
      <c r="I33" s="6" t="s">
        <v>131</v>
      </c>
      <c r="J33" s="1">
        <v>1</v>
      </c>
      <c r="K33" s="7">
        <v>43957</v>
      </c>
      <c r="L33" s="5" t="s">
        <v>131</v>
      </c>
      <c r="M33" s="5" t="s">
        <v>131</v>
      </c>
    </row>
    <row r="34" spans="1:13" x14ac:dyDescent="0.25">
      <c r="A34">
        <f t="shared" si="6"/>
        <v>33</v>
      </c>
      <c r="B34" t="s">
        <v>271</v>
      </c>
      <c r="C34" t="s">
        <v>21</v>
      </c>
      <c r="D34" t="s">
        <v>150</v>
      </c>
      <c r="E34" s="5" t="str">
        <f t="shared" si="7"/>
        <v>Tejido</v>
      </c>
      <c r="F34" t="s">
        <v>10</v>
      </c>
      <c r="G34" s="5" t="str">
        <f t="shared" si="8"/>
        <v>Female</v>
      </c>
      <c r="H34" s="2">
        <v>3</v>
      </c>
      <c r="I34" s="6" t="s">
        <v>131</v>
      </c>
      <c r="J34" s="1">
        <v>1</v>
      </c>
      <c r="K34" s="7">
        <v>43957</v>
      </c>
      <c r="L34" s="5" t="s">
        <v>131</v>
      </c>
      <c r="M34" s="5" t="s">
        <v>131</v>
      </c>
    </row>
    <row r="35" spans="1:13" x14ac:dyDescent="0.25">
      <c r="A35">
        <f t="shared" si="6"/>
        <v>34</v>
      </c>
      <c r="B35" t="s">
        <v>271</v>
      </c>
      <c r="C35" t="s">
        <v>21</v>
      </c>
      <c r="D35" t="s">
        <v>150</v>
      </c>
      <c r="E35" s="5" t="str">
        <f t="shared" si="7"/>
        <v>Tejido</v>
      </c>
      <c r="F35" t="s">
        <v>8</v>
      </c>
      <c r="G35" s="5" t="str">
        <f t="shared" si="8"/>
        <v>Female</v>
      </c>
      <c r="H35" s="2">
        <v>3</v>
      </c>
      <c r="I35" s="6" t="s">
        <v>131</v>
      </c>
      <c r="J35" s="1">
        <v>1</v>
      </c>
      <c r="K35" s="7">
        <v>43957</v>
      </c>
      <c r="L35" s="5" t="s">
        <v>131</v>
      </c>
      <c r="M35" s="5" t="s">
        <v>131</v>
      </c>
    </row>
    <row r="36" spans="1:13" x14ac:dyDescent="0.25">
      <c r="A36">
        <f t="shared" si="6"/>
        <v>35</v>
      </c>
      <c r="B36" t="s">
        <v>271</v>
      </c>
      <c r="C36" t="s">
        <v>21</v>
      </c>
      <c r="D36" t="s">
        <v>150</v>
      </c>
      <c r="E36" s="5" t="str">
        <f t="shared" si="7"/>
        <v>Tejido</v>
      </c>
      <c r="F36" t="s">
        <v>16</v>
      </c>
      <c r="G36" s="5" t="str">
        <f t="shared" si="8"/>
        <v>Female</v>
      </c>
      <c r="H36" s="2">
        <v>3</v>
      </c>
      <c r="I36" s="6" t="s">
        <v>131</v>
      </c>
      <c r="J36" s="1">
        <v>1</v>
      </c>
      <c r="K36" s="7">
        <v>43957</v>
      </c>
      <c r="L36" s="5" t="s">
        <v>131</v>
      </c>
      <c r="M36" s="5" t="s">
        <v>131</v>
      </c>
    </row>
    <row r="37" spans="1:13" x14ac:dyDescent="0.25">
      <c r="A37">
        <f t="shared" si="6"/>
        <v>36</v>
      </c>
      <c r="B37" t="s">
        <v>271</v>
      </c>
      <c r="C37" t="s">
        <v>21</v>
      </c>
      <c r="D37" t="s">
        <v>150</v>
      </c>
      <c r="E37" s="5" t="str">
        <f t="shared" si="7"/>
        <v>Tejido</v>
      </c>
      <c r="F37" t="s">
        <v>18</v>
      </c>
      <c r="G37" s="5" t="str">
        <f t="shared" si="8"/>
        <v>Female</v>
      </c>
      <c r="H37" s="2">
        <v>3</v>
      </c>
      <c r="I37" s="6" t="s">
        <v>131</v>
      </c>
      <c r="J37" s="1">
        <v>1</v>
      </c>
      <c r="K37" s="7">
        <v>43957</v>
      </c>
      <c r="L37" s="5" t="s">
        <v>131</v>
      </c>
      <c r="M37" s="5" t="s">
        <v>131</v>
      </c>
    </row>
    <row r="38" spans="1:13" x14ac:dyDescent="0.25">
      <c r="A38">
        <f t="shared" si="6"/>
        <v>37</v>
      </c>
      <c r="B38" t="s">
        <v>272</v>
      </c>
      <c r="C38" t="s">
        <v>23</v>
      </c>
      <c r="E38" s="5" t="str">
        <f t="shared" si="7"/>
        <v>Tejido</v>
      </c>
      <c r="F38" t="s">
        <v>16</v>
      </c>
      <c r="G38" s="5" t="s">
        <v>144</v>
      </c>
      <c r="H38" s="2">
        <v>3</v>
      </c>
      <c r="I38" s="6" t="s">
        <v>131</v>
      </c>
      <c r="J38" s="1">
        <v>1</v>
      </c>
      <c r="L38" s="5" t="s">
        <v>131</v>
      </c>
      <c r="M38" s="5" t="s">
        <v>131</v>
      </c>
    </row>
    <row r="39" spans="1:13" x14ac:dyDescent="0.25">
      <c r="A39">
        <f t="shared" si="6"/>
        <v>38</v>
      </c>
      <c r="B39" t="s">
        <v>272</v>
      </c>
      <c r="C39" t="s">
        <v>23</v>
      </c>
      <c r="E39" s="5" t="str">
        <f t="shared" si="7"/>
        <v>Tejido</v>
      </c>
      <c r="F39" t="s">
        <v>16</v>
      </c>
      <c r="G39" s="5" t="str">
        <f>IF($G$1="Sex","Female")</f>
        <v>Female</v>
      </c>
      <c r="H39" s="2">
        <v>3</v>
      </c>
      <c r="I39" s="6" t="s">
        <v>131</v>
      </c>
      <c r="J39" s="1">
        <v>2</v>
      </c>
      <c r="L39" s="5" t="s">
        <v>131</v>
      </c>
      <c r="M39" s="5" t="s">
        <v>131</v>
      </c>
    </row>
    <row r="40" spans="1:13" x14ac:dyDescent="0.25">
      <c r="A40">
        <f t="shared" si="6"/>
        <v>39</v>
      </c>
      <c r="B40" t="s">
        <v>272</v>
      </c>
      <c r="C40" t="s">
        <v>23</v>
      </c>
      <c r="E40" s="5" t="str">
        <f t="shared" si="7"/>
        <v>Tejido</v>
      </c>
      <c r="F40" t="s">
        <v>9</v>
      </c>
      <c r="G40" s="5" t="str">
        <f>IF($G$1="Sex","Female")</f>
        <v>Female</v>
      </c>
      <c r="H40" s="2">
        <v>3</v>
      </c>
      <c r="I40" s="6" t="s">
        <v>131</v>
      </c>
      <c r="J40" s="1">
        <v>6</v>
      </c>
      <c r="L40" s="5" t="s">
        <v>131</v>
      </c>
      <c r="M40" s="5" t="s">
        <v>131</v>
      </c>
    </row>
    <row r="41" spans="1:13" x14ac:dyDescent="0.25">
      <c r="A41">
        <f t="shared" si="6"/>
        <v>40</v>
      </c>
      <c r="B41" t="s">
        <v>272</v>
      </c>
      <c r="C41" t="s">
        <v>23</v>
      </c>
      <c r="E41" s="5" t="str">
        <f t="shared" si="7"/>
        <v>Tejido</v>
      </c>
      <c r="F41" t="s">
        <v>15</v>
      </c>
      <c r="G41" s="5" t="str">
        <f>IF($G$1="Sex","Female")</f>
        <v>Female</v>
      </c>
      <c r="H41" s="2">
        <v>3</v>
      </c>
      <c r="I41" s="6" t="s">
        <v>131</v>
      </c>
      <c r="J41" s="1">
        <v>7</v>
      </c>
      <c r="L41" s="5" t="s">
        <v>131</v>
      </c>
      <c r="M41" s="5" t="s">
        <v>131</v>
      </c>
    </row>
    <row r="42" spans="1:13" x14ac:dyDescent="0.25">
      <c r="A42">
        <f t="shared" si="6"/>
        <v>41</v>
      </c>
      <c r="B42" t="s">
        <v>275</v>
      </c>
      <c r="C42" t="s">
        <v>23</v>
      </c>
      <c r="E42" s="5" t="str">
        <f t="shared" si="7"/>
        <v>Tejido</v>
      </c>
      <c r="F42" t="s">
        <v>9</v>
      </c>
      <c r="G42" s="5" t="str">
        <f>IF($G$1="Sex","Female")</f>
        <v>Female</v>
      </c>
      <c r="H42" s="2">
        <v>3</v>
      </c>
      <c r="I42" s="6" t="s">
        <v>131</v>
      </c>
      <c r="J42" s="1">
        <v>6</v>
      </c>
      <c r="K42" s="7">
        <v>43960</v>
      </c>
      <c r="L42" s="5" t="s">
        <v>131</v>
      </c>
      <c r="M42" s="5" t="s">
        <v>131</v>
      </c>
    </row>
    <row r="43" spans="1:13" x14ac:dyDescent="0.25">
      <c r="A43">
        <f t="shared" si="6"/>
        <v>42</v>
      </c>
      <c r="B43" t="s">
        <v>275</v>
      </c>
      <c r="C43" t="s">
        <v>23</v>
      </c>
      <c r="E43" s="5" t="str">
        <f t="shared" si="7"/>
        <v>Tejido</v>
      </c>
      <c r="F43" t="s">
        <v>9</v>
      </c>
      <c r="G43" s="5" t="s">
        <v>144</v>
      </c>
      <c r="H43" s="2">
        <v>3</v>
      </c>
      <c r="I43" s="6" t="s">
        <v>131</v>
      </c>
      <c r="J43" s="1">
        <v>3</v>
      </c>
      <c r="K43" s="7">
        <v>43960</v>
      </c>
      <c r="L43" s="5" t="s">
        <v>131</v>
      </c>
      <c r="M43" s="5" t="s">
        <v>131</v>
      </c>
    </row>
    <row r="44" spans="1:13" x14ac:dyDescent="0.25">
      <c r="A44">
        <f t="shared" si="6"/>
        <v>43</v>
      </c>
      <c r="B44" t="s">
        <v>275</v>
      </c>
      <c r="C44" t="s">
        <v>23</v>
      </c>
      <c r="E44" s="5" t="str">
        <f t="shared" si="7"/>
        <v>Tejido</v>
      </c>
      <c r="F44" t="s">
        <v>9</v>
      </c>
      <c r="G44" s="5" t="s">
        <v>144</v>
      </c>
      <c r="H44" s="2">
        <v>3</v>
      </c>
      <c r="I44" s="6" t="s">
        <v>131</v>
      </c>
      <c r="J44" s="1">
        <v>1</v>
      </c>
      <c r="K44" s="7">
        <v>43960</v>
      </c>
      <c r="L44" s="5" t="s">
        <v>131</v>
      </c>
      <c r="M44" s="5" t="s">
        <v>131</v>
      </c>
    </row>
    <row r="45" spans="1:13" x14ac:dyDescent="0.25">
      <c r="A45">
        <f t="shared" si="6"/>
        <v>44</v>
      </c>
      <c r="B45" t="s">
        <v>275</v>
      </c>
      <c r="C45" t="s">
        <v>23</v>
      </c>
      <c r="E45" s="5" t="str">
        <f t="shared" si="7"/>
        <v>Tejido</v>
      </c>
      <c r="F45" t="s">
        <v>9</v>
      </c>
      <c r="G45" s="5" t="str">
        <f>IF($G$1="Sex","Female")</f>
        <v>Female</v>
      </c>
      <c r="H45" s="2">
        <v>3</v>
      </c>
      <c r="I45" s="6" t="s">
        <v>131</v>
      </c>
      <c r="J45" s="1">
        <v>1</v>
      </c>
      <c r="K45" s="7">
        <v>43960</v>
      </c>
      <c r="L45" s="5" t="s">
        <v>131</v>
      </c>
      <c r="M45" s="5" t="s">
        <v>131</v>
      </c>
    </row>
    <row r="46" spans="1:13" x14ac:dyDescent="0.25">
      <c r="A46">
        <f t="shared" si="6"/>
        <v>45</v>
      </c>
      <c r="B46" t="s">
        <v>275</v>
      </c>
      <c r="C46" t="s">
        <v>23</v>
      </c>
      <c r="E46" s="5" t="str">
        <f t="shared" si="7"/>
        <v>Tejido</v>
      </c>
      <c r="F46" t="s">
        <v>16</v>
      </c>
      <c r="G46" s="5" t="str">
        <f>IF($G$1="Sex","Female")</f>
        <v>Female</v>
      </c>
      <c r="H46" s="2">
        <v>3</v>
      </c>
      <c r="I46" s="6" t="s">
        <v>131</v>
      </c>
      <c r="J46" s="1">
        <v>1</v>
      </c>
      <c r="K46" s="7">
        <v>43960</v>
      </c>
      <c r="L46" s="5" t="s">
        <v>131</v>
      </c>
      <c r="M46" s="5" t="s">
        <v>131</v>
      </c>
    </row>
    <row r="47" spans="1:13" x14ac:dyDescent="0.25">
      <c r="A47">
        <f t="shared" si="6"/>
        <v>46</v>
      </c>
      <c r="B47" t="s">
        <v>276</v>
      </c>
      <c r="C47" t="s">
        <v>24</v>
      </c>
      <c r="D47" t="s">
        <v>24</v>
      </c>
      <c r="E47" s="5" t="str">
        <f t="shared" si="7"/>
        <v>Tejido</v>
      </c>
      <c r="F47" t="s">
        <v>9</v>
      </c>
      <c r="G47" s="5" t="s">
        <v>144</v>
      </c>
      <c r="H47" s="2">
        <v>3</v>
      </c>
      <c r="I47" s="6" t="s">
        <v>131</v>
      </c>
      <c r="J47" s="1">
        <v>3</v>
      </c>
      <c r="K47" s="7">
        <v>43957</v>
      </c>
      <c r="L47" s="5" t="s">
        <v>131</v>
      </c>
      <c r="M47" s="5" t="s">
        <v>131</v>
      </c>
    </row>
    <row r="48" spans="1:13" x14ac:dyDescent="0.25">
      <c r="A48">
        <f t="shared" si="6"/>
        <v>47</v>
      </c>
      <c r="B48" t="s">
        <v>277</v>
      </c>
      <c r="C48" t="s">
        <v>151</v>
      </c>
      <c r="D48" t="s">
        <v>151</v>
      </c>
      <c r="E48" s="5" t="str">
        <f t="shared" si="7"/>
        <v>Tejido</v>
      </c>
      <c r="F48" t="s">
        <v>133</v>
      </c>
      <c r="G48" s="5" t="str">
        <f>IF($G$1="Sex","Female")</f>
        <v>Female</v>
      </c>
      <c r="H48" s="2">
        <v>0</v>
      </c>
      <c r="I48" s="6" t="s">
        <v>131</v>
      </c>
      <c r="J48" s="1">
        <v>1</v>
      </c>
      <c r="K48" s="7">
        <v>43957</v>
      </c>
      <c r="L48" s="5" t="s">
        <v>131</v>
      </c>
      <c r="M48" s="5" t="str">
        <f t="shared" ref="M48:M54" si="9">IF($M$1="Entregado","No")</f>
        <v>No</v>
      </c>
    </row>
    <row r="49" spans="1:13" x14ac:dyDescent="0.25">
      <c r="A49">
        <f t="shared" si="6"/>
        <v>48</v>
      </c>
      <c r="B49" t="s">
        <v>277</v>
      </c>
      <c r="C49" t="s">
        <v>151</v>
      </c>
      <c r="D49" t="s">
        <v>151</v>
      </c>
      <c r="E49" s="5" t="str">
        <f t="shared" si="7"/>
        <v>Tejido</v>
      </c>
      <c r="F49" t="s">
        <v>9</v>
      </c>
      <c r="G49" s="5" t="str">
        <f>IF($G$1="Sex","Female")</f>
        <v>Female</v>
      </c>
      <c r="H49" s="2">
        <v>0</v>
      </c>
      <c r="I49" s="6" t="s">
        <v>131</v>
      </c>
      <c r="J49" s="1">
        <v>1</v>
      </c>
      <c r="K49" s="7">
        <v>43957</v>
      </c>
      <c r="L49" s="5" t="s">
        <v>132</v>
      </c>
      <c r="M49" s="5" t="str">
        <f t="shared" si="9"/>
        <v>No</v>
      </c>
    </row>
    <row r="50" spans="1:13" x14ac:dyDescent="0.25">
      <c r="A50">
        <f t="shared" si="6"/>
        <v>49</v>
      </c>
      <c r="B50" t="s">
        <v>277</v>
      </c>
      <c r="C50" t="s">
        <v>151</v>
      </c>
      <c r="D50" t="s">
        <v>151</v>
      </c>
      <c r="E50" s="5" t="str">
        <f t="shared" si="7"/>
        <v>Tejido</v>
      </c>
      <c r="F50" t="s">
        <v>16</v>
      </c>
      <c r="G50" s="5" t="str">
        <f>IF($G$1="Sex","Female")</f>
        <v>Female</v>
      </c>
      <c r="H50" s="2">
        <v>0</v>
      </c>
      <c r="I50" s="6" t="s">
        <v>131</v>
      </c>
      <c r="J50" s="1">
        <v>1</v>
      </c>
      <c r="K50" s="7">
        <v>43957</v>
      </c>
      <c r="L50" s="5" t="s">
        <v>132</v>
      </c>
      <c r="M50" s="5" t="str">
        <f t="shared" si="9"/>
        <v>No</v>
      </c>
    </row>
    <row r="51" spans="1:13" x14ac:dyDescent="0.25">
      <c r="A51">
        <f t="shared" si="6"/>
        <v>50</v>
      </c>
      <c r="B51" t="s">
        <v>278</v>
      </c>
      <c r="C51" t="s">
        <v>152</v>
      </c>
      <c r="D51" t="s">
        <v>152</v>
      </c>
      <c r="E51" s="5" t="str">
        <f t="shared" si="7"/>
        <v>Tejido</v>
      </c>
      <c r="F51" t="s">
        <v>9</v>
      </c>
      <c r="G51" s="5" t="str">
        <f>IF($G$1="Sex","Female")</f>
        <v>Female</v>
      </c>
      <c r="H51" s="2">
        <v>0</v>
      </c>
      <c r="I51" s="6" t="s">
        <v>131</v>
      </c>
      <c r="J51" s="1">
        <v>1</v>
      </c>
      <c r="L51" s="5" t="s">
        <v>131</v>
      </c>
      <c r="M51" s="5" t="s">
        <v>131</v>
      </c>
    </row>
    <row r="52" spans="1:13" x14ac:dyDescent="0.25">
      <c r="A52">
        <f t="shared" si="6"/>
        <v>51</v>
      </c>
      <c r="B52" t="s">
        <v>278</v>
      </c>
      <c r="C52" t="s">
        <v>152</v>
      </c>
      <c r="D52" t="s">
        <v>152</v>
      </c>
      <c r="E52" s="5" t="str">
        <f t="shared" si="7"/>
        <v>Tejido</v>
      </c>
      <c r="F52" t="s">
        <v>9</v>
      </c>
      <c r="G52" s="5" t="s">
        <v>144</v>
      </c>
      <c r="H52" s="2">
        <v>0</v>
      </c>
      <c r="I52" s="6" t="s">
        <v>131</v>
      </c>
      <c r="J52" s="1">
        <v>1</v>
      </c>
      <c r="L52" s="5" t="s">
        <v>131</v>
      </c>
      <c r="M52" s="5" t="s">
        <v>131</v>
      </c>
    </row>
    <row r="53" spans="1:13" x14ac:dyDescent="0.25">
      <c r="A53">
        <f t="shared" si="6"/>
        <v>52</v>
      </c>
      <c r="B53" t="s">
        <v>279</v>
      </c>
      <c r="C53" t="s">
        <v>153</v>
      </c>
      <c r="D53" t="s">
        <v>153</v>
      </c>
      <c r="E53" s="5" t="str">
        <f t="shared" si="7"/>
        <v>Tejido</v>
      </c>
      <c r="F53" t="s">
        <v>10</v>
      </c>
      <c r="G53" s="5" t="str">
        <f>IF($G$1="Sex","Female")</f>
        <v>Female</v>
      </c>
      <c r="H53" s="2">
        <v>0</v>
      </c>
      <c r="I53" s="6" t="s">
        <v>131</v>
      </c>
      <c r="J53" s="1">
        <v>1</v>
      </c>
      <c r="L53" s="5" t="s">
        <v>132</v>
      </c>
      <c r="M53" s="5" t="str">
        <f t="shared" si="9"/>
        <v>No</v>
      </c>
    </row>
    <row r="54" spans="1:13" x14ac:dyDescent="0.25">
      <c r="A54">
        <f t="shared" si="6"/>
        <v>53</v>
      </c>
      <c r="B54" t="s">
        <v>280</v>
      </c>
      <c r="C54" t="s">
        <v>154</v>
      </c>
      <c r="D54" t="s">
        <v>154</v>
      </c>
      <c r="E54" s="5" t="str">
        <f t="shared" si="7"/>
        <v>Tejido</v>
      </c>
      <c r="F54" t="s">
        <v>10</v>
      </c>
      <c r="G54" s="5" t="str">
        <f>IF($G$1="Sex","Female")</f>
        <v>Female</v>
      </c>
      <c r="H54" s="2">
        <v>0</v>
      </c>
      <c r="I54" s="6" t="s">
        <v>131</v>
      </c>
      <c r="J54" s="1">
        <v>1</v>
      </c>
      <c r="L54" s="5" t="s">
        <v>132</v>
      </c>
      <c r="M54" s="5" t="str">
        <f t="shared" si="9"/>
        <v>No</v>
      </c>
    </row>
    <row r="55" spans="1:13" x14ac:dyDescent="0.25">
      <c r="A55">
        <f t="shared" si="6"/>
        <v>54</v>
      </c>
      <c r="B55" t="s">
        <v>281</v>
      </c>
      <c r="C55" t="s">
        <v>24</v>
      </c>
      <c r="D55" t="s">
        <v>24</v>
      </c>
      <c r="E55" s="5" t="str">
        <f t="shared" si="7"/>
        <v>Tejido</v>
      </c>
      <c r="F55" t="s">
        <v>9</v>
      </c>
      <c r="G55" s="5" t="s">
        <v>144</v>
      </c>
      <c r="H55" s="2">
        <v>3</v>
      </c>
      <c r="I55" s="6" t="s">
        <v>131</v>
      </c>
      <c r="J55" s="1">
        <v>1</v>
      </c>
      <c r="K55" s="7">
        <v>43960</v>
      </c>
      <c r="L55" s="5" t="s">
        <v>131</v>
      </c>
      <c r="M55" s="5" t="s">
        <v>131</v>
      </c>
    </row>
    <row r="56" spans="1:13" x14ac:dyDescent="0.25">
      <c r="A56">
        <f t="shared" ref="A56:A64" si="10">ROW(A55)</f>
        <v>55</v>
      </c>
      <c r="B56" t="s">
        <v>282</v>
      </c>
      <c r="C56" t="s">
        <v>21</v>
      </c>
      <c r="D56" t="s">
        <v>141</v>
      </c>
      <c r="E56" s="5" t="str">
        <f t="shared" ref="E56:E64" si="11">IF($E$1="Tipo","Tejido")</f>
        <v>Tejido</v>
      </c>
      <c r="F56" t="s">
        <v>16</v>
      </c>
      <c r="G56" s="5" t="str">
        <f>IF($G$1="Sex","Female")</f>
        <v>Female</v>
      </c>
      <c r="H56" s="2">
        <v>3</v>
      </c>
      <c r="I56" s="6" t="s">
        <v>131</v>
      </c>
      <c r="J56" s="1">
        <v>1</v>
      </c>
      <c r="K56" s="7">
        <v>43962</v>
      </c>
      <c r="L56" s="5" t="s">
        <v>131</v>
      </c>
      <c r="M56" s="5" t="s">
        <v>131</v>
      </c>
    </row>
    <row r="57" spans="1:13" x14ac:dyDescent="0.25">
      <c r="A57">
        <f t="shared" si="10"/>
        <v>56</v>
      </c>
      <c r="B57" t="s">
        <v>283</v>
      </c>
      <c r="C57" t="s">
        <v>185</v>
      </c>
      <c r="D57" t="s">
        <v>186</v>
      </c>
      <c r="E57" s="5" t="str">
        <f t="shared" si="11"/>
        <v>Tejido</v>
      </c>
      <c r="F57" t="s">
        <v>9</v>
      </c>
      <c r="G57" s="5" t="s">
        <v>144</v>
      </c>
      <c r="H57" s="2">
        <v>3</v>
      </c>
      <c r="I57" s="6" t="s">
        <v>131</v>
      </c>
      <c r="J57" s="1">
        <v>2</v>
      </c>
      <c r="K57" s="7">
        <v>43963</v>
      </c>
      <c r="L57" s="5" t="s">
        <v>131</v>
      </c>
      <c r="M57" s="5" t="s">
        <v>131</v>
      </c>
    </row>
    <row r="58" spans="1:13" x14ac:dyDescent="0.25">
      <c r="A58">
        <f t="shared" si="10"/>
        <v>57</v>
      </c>
      <c r="B58" t="s">
        <v>273</v>
      </c>
      <c r="C58" t="s">
        <v>189</v>
      </c>
      <c r="D58" t="s">
        <v>190</v>
      </c>
      <c r="E58" s="5" t="str">
        <f t="shared" si="11"/>
        <v>Tejido</v>
      </c>
      <c r="F58" t="s">
        <v>9</v>
      </c>
      <c r="G58" s="5" t="str">
        <f t="shared" ref="G58:G63" si="12">IF($G$1="Sex","Female")</f>
        <v>Female</v>
      </c>
      <c r="H58" s="2">
        <v>3</v>
      </c>
      <c r="I58" s="6" t="s">
        <v>131</v>
      </c>
      <c r="J58" s="1">
        <v>4</v>
      </c>
      <c r="K58" s="7">
        <v>43964</v>
      </c>
      <c r="L58" s="5" t="s">
        <v>131</v>
      </c>
      <c r="M58" s="5" t="s">
        <v>131</v>
      </c>
    </row>
    <row r="59" spans="1:13" x14ac:dyDescent="0.25">
      <c r="A59">
        <f t="shared" si="10"/>
        <v>58</v>
      </c>
      <c r="B59" t="s">
        <v>273</v>
      </c>
      <c r="C59" t="s">
        <v>189</v>
      </c>
      <c r="D59" t="s">
        <v>190</v>
      </c>
      <c r="E59" s="5" t="str">
        <f t="shared" si="11"/>
        <v>Tejido</v>
      </c>
      <c r="F59" t="s">
        <v>16</v>
      </c>
      <c r="G59" s="5" t="str">
        <f t="shared" si="12"/>
        <v>Female</v>
      </c>
      <c r="H59" s="2">
        <v>3</v>
      </c>
      <c r="I59" s="6" t="s">
        <v>131</v>
      </c>
      <c r="J59" s="1">
        <v>3</v>
      </c>
      <c r="K59" s="7">
        <v>43964</v>
      </c>
      <c r="L59" s="5" t="s">
        <v>131</v>
      </c>
      <c r="M59" s="5" t="s">
        <v>131</v>
      </c>
    </row>
    <row r="60" spans="1:13" x14ac:dyDescent="0.25">
      <c r="A60">
        <f t="shared" si="10"/>
        <v>59</v>
      </c>
      <c r="B60" t="s">
        <v>273</v>
      </c>
      <c r="C60" t="s">
        <v>189</v>
      </c>
      <c r="D60" t="s">
        <v>190</v>
      </c>
      <c r="E60" s="5" t="str">
        <f t="shared" si="11"/>
        <v>Tejido</v>
      </c>
      <c r="F60" t="s">
        <v>15</v>
      </c>
      <c r="G60" s="5" t="str">
        <f t="shared" si="12"/>
        <v>Female</v>
      </c>
      <c r="H60" s="2">
        <v>3</v>
      </c>
      <c r="I60" s="6" t="s">
        <v>131</v>
      </c>
      <c r="J60" s="1">
        <v>3</v>
      </c>
      <c r="K60" s="7">
        <v>43964</v>
      </c>
      <c r="L60" s="5" t="s">
        <v>131</v>
      </c>
      <c r="M60" s="5" t="s">
        <v>131</v>
      </c>
    </row>
    <row r="61" spans="1:13" x14ac:dyDescent="0.25">
      <c r="A61">
        <f t="shared" si="10"/>
        <v>60</v>
      </c>
      <c r="B61" t="s">
        <v>273</v>
      </c>
      <c r="C61" t="s">
        <v>189</v>
      </c>
      <c r="D61" t="s">
        <v>190</v>
      </c>
      <c r="E61" s="5" t="str">
        <f t="shared" si="11"/>
        <v>Tejido</v>
      </c>
      <c r="F61" t="s">
        <v>17</v>
      </c>
      <c r="G61" s="5" t="str">
        <f t="shared" si="12"/>
        <v>Female</v>
      </c>
      <c r="H61" s="2">
        <v>3</v>
      </c>
      <c r="I61" s="6" t="s">
        <v>131</v>
      </c>
      <c r="J61" s="1">
        <v>1</v>
      </c>
      <c r="K61" s="7">
        <v>43964</v>
      </c>
      <c r="L61" s="5" t="s">
        <v>131</v>
      </c>
      <c r="M61" s="5" t="s">
        <v>131</v>
      </c>
    </row>
    <row r="62" spans="1:13" x14ac:dyDescent="0.25">
      <c r="A62">
        <f t="shared" si="10"/>
        <v>61</v>
      </c>
      <c r="B62" t="s">
        <v>273</v>
      </c>
      <c r="C62" t="s">
        <v>189</v>
      </c>
      <c r="D62" t="s">
        <v>190</v>
      </c>
      <c r="E62" s="5" t="str">
        <f t="shared" si="11"/>
        <v>Tejido</v>
      </c>
      <c r="F62" t="s">
        <v>191</v>
      </c>
      <c r="G62" s="5" t="str">
        <f t="shared" si="12"/>
        <v>Female</v>
      </c>
      <c r="H62" s="2">
        <v>3</v>
      </c>
      <c r="I62" s="6" t="s">
        <v>131</v>
      </c>
      <c r="J62" s="1">
        <v>1</v>
      </c>
      <c r="K62" s="7">
        <v>43964</v>
      </c>
      <c r="L62" s="5" t="s">
        <v>131</v>
      </c>
      <c r="M62" s="5" t="s">
        <v>131</v>
      </c>
    </row>
    <row r="63" spans="1:13" x14ac:dyDescent="0.25">
      <c r="A63">
        <f t="shared" si="10"/>
        <v>62</v>
      </c>
      <c r="B63" t="s">
        <v>273</v>
      </c>
      <c r="C63" t="s">
        <v>189</v>
      </c>
      <c r="D63" t="s">
        <v>190</v>
      </c>
      <c r="E63" s="5" t="str">
        <f t="shared" si="11"/>
        <v>Tejido</v>
      </c>
      <c r="F63" t="s">
        <v>10</v>
      </c>
      <c r="G63" s="5" t="str">
        <f t="shared" si="12"/>
        <v>Female</v>
      </c>
      <c r="H63" s="2">
        <v>3</v>
      </c>
      <c r="I63" s="6" t="s">
        <v>131</v>
      </c>
      <c r="J63" s="1">
        <v>1</v>
      </c>
      <c r="K63" s="7">
        <v>43964</v>
      </c>
      <c r="L63" s="5" t="s">
        <v>131</v>
      </c>
      <c r="M63" s="5" t="s">
        <v>131</v>
      </c>
    </row>
    <row r="64" spans="1:13" x14ac:dyDescent="0.25">
      <c r="A64">
        <f t="shared" si="10"/>
        <v>63</v>
      </c>
      <c r="B64" t="s">
        <v>273</v>
      </c>
      <c r="C64" t="s">
        <v>189</v>
      </c>
      <c r="D64" t="s">
        <v>190</v>
      </c>
      <c r="E64" s="5" t="str">
        <f t="shared" si="11"/>
        <v>Tejido</v>
      </c>
      <c r="F64" t="s">
        <v>9</v>
      </c>
      <c r="G64" s="5" t="s">
        <v>144</v>
      </c>
      <c r="H64" s="2">
        <v>3</v>
      </c>
      <c r="I64" s="6" t="s">
        <v>131</v>
      </c>
      <c r="J64" s="1">
        <v>2</v>
      </c>
      <c r="K64" s="7">
        <v>43964</v>
      </c>
      <c r="L64" s="5" t="s">
        <v>131</v>
      </c>
      <c r="M64" s="5" t="s">
        <v>131</v>
      </c>
    </row>
    <row r="65" spans="1:14" x14ac:dyDescent="0.25">
      <c r="A65">
        <f t="shared" ref="A65:A79" si="13">ROW(A64)</f>
        <v>64</v>
      </c>
      <c r="B65" t="s">
        <v>284</v>
      </c>
      <c r="C65" t="s">
        <v>40</v>
      </c>
      <c r="D65" t="s">
        <v>40</v>
      </c>
      <c r="E65" s="5" t="str">
        <f t="shared" ref="E65:E79" si="14">IF($E$1="Tipo","Tejido")</f>
        <v>Tejido</v>
      </c>
      <c r="F65" t="s">
        <v>9</v>
      </c>
      <c r="G65" s="5" t="str">
        <f>IF($G$1="Sex","Female")</f>
        <v>Female</v>
      </c>
      <c r="H65" s="2">
        <v>3</v>
      </c>
      <c r="I65" s="6" t="s">
        <v>131</v>
      </c>
      <c r="J65" s="1">
        <v>1</v>
      </c>
      <c r="K65" s="7">
        <v>43965</v>
      </c>
      <c r="L65" s="5" t="s">
        <v>131</v>
      </c>
      <c r="M65" s="5" t="s">
        <v>131</v>
      </c>
    </row>
    <row r="66" spans="1:14" x14ac:dyDescent="0.25">
      <c r="A66">
        <f t="shared" si="13"/>
        <v>65</v>
      </c>
      <c r="B66" t="s">
        <v>284</v>
      </c>
      <c r="C66" t="s">
        <v>40</v>
      </c>
      <c r="D66" t="s">
        <v>40</v>
      </c>
      <c r="E66" s="5" t="str">
        <f t="shared" si="14"/>
        <v>Tejido</v>
      </c>
      <c r="F66" t="s">
        <v>9</v>
      </c>
      <c r="G66" s="5" t="s">
        <v>144</v>
      </c>
      <c r="H66" s="2">
        <v>3</v>
      </c>
      <c r="I66" s="6" t="s">
        <v>131</v>
      </c>
      <c r="J66" s="1">
        <v>1</v>
      </c>
      <c r="K66" s="7">
        <v>43965</v>
      </c>
      <c r="L66" s="5" t="s">
        <v>131</v>
      </c>
      <c r="M66" s="5" t="s">
        <v>131</v>
      </c>
    </row>
    <row r="67" spans="1:14" x14ac:dyDescent="0.25">
      <c r="A67">
        <f t="shared" si="13"/>
        <v>66</v>
      </c>
      <c r="B67" t="s">
        <v>263</v>
      </c>
      <c r="C67" t="s">
        <v>21</v>
      </c>
      <c r="D67" t="s">
        <v>141</v>
      </c>
      <c r="E67" s="5" t="str">
        <f t="shared" si="14"/>
        <v>Tejido</v>
      </c>
      <c r="F67" t="s">
        <v>133</v>
      </c>
      <c r="G67" s="5" t="str">
        <f>IF($G$1="Sex","Female")</f>
        <v>Female</v>
      </c>
      <c r="H67" s="2">
        <v>3</v>
      </c>
      <c r="I67" s="6" t="s">
        <v>131</v>
      </c>
      <c r="J67" s="1">
        <v>1</v>
      </c>
      <c r="K67" s="7">
        <v>43964</v>
      </c>
      <c r="L67" s="5" t="s">
        <v>131</v>
      </c>
      <c r="M67" s="5" t="s">
        <v>131</v>
      </c>
    </row>
    <row r="68" spans="1:14" x14ac:dyDescent="0.25">
      <c r="A68">
        <f t="shared" si="13"/>
        <v>67</v>
      </c>
      <c r="B68" t="s">
        <v>263</v>
      </c>
      <c r="C68" t="s">
        <v>21</v>
      </c>
      <c r="D68" t="s">
        <v>141</v>
      </c>
      <c r="E68" s="5" t="str">
        <f t="shared" si="14"/>
        <v>Tejido</v>
      </c>
      <c r="F68" t="s">
        <v>191</v>
      </c>
      <c r="G68" s="5" t="str">
        <f>IF($G$1="Sex","Female")</f>
        <v>Female</v>
      </c>
      <c r="H68" s="2">
        <v>3</v>
      </c>
      <c r="I68" s="6" t="s">
        <v>131</v>
      </c>
      <c r="J68" s="1">
        <v>1</v>
      </c>
      <c r="K68" s="7">
        <v>43964</v>
      </c>
      <c r="L68" s="5" t="s">
        <v>131</v>
      </c>
      <c r="M68" s="5" t="s">
        <v>131</v>
      </c>
    </row>
    <row r="69" spans="1:14" x14ac:dyDescent="0.25">
      <c r="A69">
        <f t="shared" si="13"/>
        <v>68</v>
      </c>
      <c r="B69" t="s">
        <v>285</v>
      </c>
      <c r="C69" t="s">
        <v>45</v>
      </c>
      <c r="D69" t="s">
        <v>45</v>
      </c>
      <c r="E69" s="5" t="str">
        <f t="shared" si="14"/>
        <v>Tejido</v>
      </c>
      <c r="F69" t="s">
        <v>7</v>
      </c>
      <c r="G69" s="5" t="str">
        <f>IF($G$1="Sex","Female")</f>
        <v>Female</v>
      </c>
      <c r="H69" s="2">
        <v>0</v>
      </c>
      <c r="I69" s="6" t="s">
        <v>131</v>
      </c>
      <c r="J69" s="1">
        <v>1</v>
      </c>
      <c r="K69" s="7">
        <v>43965</v>
      </c>
      <c r="L69" s="5" t="s">
        <v>131</v>
      </c>
      <c r="M69" s="5" t="s">
        <v>131</v>
      </c>
    </row>
    <row r="70" spans="1:14" x14ac:dyDescent="0.25">
      <c r="A70">
        <f t="shared" si="13"/>
        <v>69</v>
      </c>
      <c r="B70" t="s">
        <v>286</v>
      </c>
      <c r="C70" t="s">
        <v>197</v>
      </c>
      <c r="D70" t="s">
        <v>197</v>
      </c>
      <c r="E70" s="5" t="str">
        <f t="shared" si="14"/>
        <v>Tejido</v>
      </c>
      <c r="F70" t="s">
        <v>9</v>
      </c>
      <c r="G70" s="5" t="s">
        <v>144</v>
      </c>
      <c r="H70" s="2">
        <v>0</v>
      </c>
      <c r="I70" s="6" t="s">
        <v>131</v>
      </c>
      <c r="J70" s="1">
        <v>1</v>
      </c>
      <c r="K70" s="7">
        <v>43965</v>
      </c>
      <c r="L70" s="5" t="s">
        <v>131</v>
      </c>
      <c r="M70" s="5" t="s">
        <v>131</v>
      </c>
    </row>
    <row r="71" spans="1:14" x14ac:dyDescent="0.25">
      <c r="A71">
        <f t="shared" si="13"/>
        <v>70</v>
      </c>
      <c r="B71" t="s">
        <v>286</v>
      </c>
      <c r="C71" t="s">
        <v>197</v>
      </c>
      <c r="D71" t="s">
        <v>197</v>
      </c>
      <c r="E71" s="5" t="str">
        <f t="shared" si="14"/>
        <v>Tejido</v>
      </c>
      <c r="F71" t="s">
        <v>9</v>
      </c>
      <c r="G71" s="5" t="str">
        <f t="shared" ref="G71:G78" si="15">IF($G$1="Sex","Female")</f>
        <v>Female</v>
      </c>
      <c r="H71" s="2">
        <v>0</v>
      </c>
      <c r="I71" s="6" t="s">
        <v>131</v>
      </c>
      <c r="J71" s="1">
        <v>1</v>
      </c>
      <c r="K71" s="7">
        <v>43965</v>
      </c>
      <c r="L71" s="5" t="s">
        <v>131</v>
      </c>
      <c r="M71" s="5" t="s">
        <v>131</v>
      </c>
    </row>
    <row r="72" spans="1:14" x14ac:dyDescent="0.25">
      <c r="A72">
        <f t="shared" si="13"/>
        <v>71</v>
      </c>
      <c r="B72" t="s">
        <v>287</v>
      </c>
      <c r="C72" t="s">
        <v>21</v>
      </c>
      <c r="D72" t="s">
        <v>141</v>
      </c>
      <c r="E72" s="5" t="str">
        <f t="shared" si="14"/>
        <v>Tejido</v>
      </c>
      <c r="F72" t="s">
        <v>18</v>
      </c>
      <c r="G72" s="5" t="str">
        <f t="shared" si="15"/>
        <v>Female</v>
      </c>
      <c r="H72" s="2">
        <v>3</v>
      </c>
      <c r="I72" s="6" t="s">
        <v>131</v>
      </c>
      <c r="J72" s="1">
        <v>1</v>
      </c>
      <c r="K72" s="7">
        <v>43966</v>
      </c>
      <c r="L72" s="5" t="s">
        <v>131</v>
      </c>
      <c r="M72" s="5" t="s">
        <v>131</v>
      </c>
      <c r="N72" s="7">
        <v>43969</v>
      </c>
    </row>
    <row r="73" spans="1:14" x14ac:dyDescent="0.25">
      <c r="A73">
        <f t="shared" si="13"/>
        <v>72</v>
      </c>
      <c r="B73" t="s">
        <v>287</v>
      </c>
      <c r="C73" t="s">
        <v>21</v>
      </c>
      <c r="D73" t="s">
        <v>141</v>
      </c>
      <c r="E73" s="5" t="str">
        <f t="shared" si="14"/>
        <v>Tejido</v>
      </c>
      <c r="F73" t="s">
        <v>17</v>
      </c>
      <c r="G73" s="5" t="str">
        <f t="shared" si="15"/>
        <v>Female</v>
      </c>
      <c r="H73" s="2">
        <v>3</v>
      </c>
      <c r="I73" s="6" t="s">
        <v>131</v>
      </c>
      <c r="J73" s="1">
        <v>3</v>
      </c>
      <c r="K73" s="7">
        <v>43966</v>
      </c>
      <c r="L73" s="5" t="s">
        <v>131</v>
      </c>
      <c r="M73" s="5" t="s">
        <v>131</v>
      </c>
      <c r="N73" s="7">
        <v>43969</v>
      </c>
    </row>
    <row r="74" spans="1:14" x14ac:dyDescent="0.25">
      <c r="A74">
        <f t="shared" si="13"/>
        <v>73</v>
      </c>
      <c r="B74" t="s">
        <v>287</v>
      </c>
      <c r="C74" t="s">
        <v>21</v>
      </c>
      <c r="D74" t="s">
        <v>141</v>
      </c>
      <c r="E74" s="5" t="str">
        <f t="shared" si="14"/>
        <v>Tejido</v>
      </c>
      <c r="F74" t="s">
        <v>9</v>
      </c>
      <c r="G74" s="5" t="str">
        <f t="shared" si="15"/>
        <v>Female</v>
      </c>
      <c r="H74" s="2">
        <v>3</v>
      </c>
      <c r="I74" s="6" t="s">
        <v>131</v>
      </c>
      <c r="J74" s="1">
        <v>4</v>
      </c>
      <c r="K74" s="7">
        <v>43966</v>
      </c>
      <c r="L74" s="5" t="s">
        <v>131</v>
      </c>
      <c r="M74" s="5" t="s">
        <v>131</v>
      </c>
      <c r="N74" s="7">
        <v>43969</v>
      </c>
    </row>
    <row r="75" spans="1:14" x14ac:dyDescent="0.25">
      <c r="A75">
        <f t="shared" si="13"/>
        <v>74</v>
      </c>
      <c r="B75" t="s">
        <v>287</v>
      </c>
      <c r="C75" t="s">
        <v>21</v>
      </c>
      <c r="D75" t="s">
        <v>141</v>
      </c>
      <c r="E75" s="5" t="str">
        <f t="shared" si="14"/>
        <v>Tejido</v>
      </c>
      <c r="F75" t="s">
        <v>7</v>
      </c>
      <c r="G75" s="5" t="str">
        <f t="shared" si="15"/>
        <v>Female</v>
      </c>
      <c r="H75" s="2">
        <v>3</v>
      </c>
      <c r="I75" s="6" t="s">
        <v>131</v>
      </c>
      <c r="J75" s="1">
        <v>2</v>
      </c>
      <c r="K75" s="7">
        <v>43966</v>
      </c>
      <c r="L75" s="5" t="s">
        <v>131</v>
      </c>
      <c r="M75" s="5" t="s">
        <v>131</v>
      </c>
      <c r="N75" s="7">
        <v>43969</v>
      </c>
    </row>
    <row r="76" spans="1:14" x14ac:dyDescent="0.25">
      <c r="A76">
        <f t="shared" si="13"/>
        <v>75</v>
      </c>
      <c r="B76" t="s">
        <v>287</v>
      </c>
      <c r="C76" t="s">
        <v>21</v>
      </c>
      <c r="D76" t="s">
        <v>141</v>
      </c>
      <c r="E76" s="5" t="str">
        <f t="shared" si="14"/>
        <v>Tejido</v>
      </c>
      <c r="F76" t="s">
        <v>10</v>
      </c>
      <c r="G76" s="5" t="str">
        <f t="shared" si="15"/>
        <v>Female</v>
      </c>
      <c r="H76" s="2">
        <v>3</v>
      </c>
      <c r="I76" s="6" t="s">
        <v>131</v>
      </c>
      <c r="J76" s="1">
        <v>3</v>
      </c>
      <c r="K76" s="7">
        <v>43966</v>
      </c>
      <c r="L76" s="5" t="s">
        <v>131</v>
      </c>
      <c r="M76" s="5" t="s">
        <v>131</v>
      </c>
      <c r="N76" s="7">
        <v>43969</v>
      </c>
    </row>
    <row r="77" spans="1:14" x14ac:dyDescent="0.25">
      <c r="A77">
        <f t="shared" si="13"/>
        <v>76</v>
      </c>
      <c r="B77" t="s">
        <v>287</v>
      </c>
      <c r="C77" t="s">
        <v>21</v>
      </c>
      <c r="D77" t="s">
        <v>141</v>
      </c>
      <c r="E77" s="5" t="str">
        <f t="shared" si="14"/>
        <v>Tejido</v>
      </c>
      <c r="F77" t="s">
        <v>11</v>
      </c>
      <c r="G77" s="5" t="str">
        <f t="shared" si="15"/>
        <v>Female</v>
      </c>
      <c r="H77" s="2">
        <v>3</v>
      </c>
      <c r="I77" s="6" t="s">
        <v>131</v>
      </c>
      <c r="J77" s="1">
        <v>1</v>
      </c>
      <c r="K77" s="7">
        <v>43966</v>
      </c>
      <c r="L77" s="5" t="s">
        <v>131</v>
      </c>
      <c r="M77" s="5" t="s">
        <v>131</v>
      </c>
      <c r="N77" s="7">
        <v>43969</v>
      </c>
    </row>
    <row r="78" spans="1:14" x14ac:dyDescent="0.25">
      <c r="A78">
        <f t="shared" si="13"/>
        <v>77</v>
      </c>
      <c r="B78" t="s">
        <v>287</v>
      </c>
      <c r="C78" t="s">
        <v>21</v>
      </c>
      <c r="D78" t="s">
        <v>141</v>
      </c>
      <c r="E78" s="5" t="str">
        <f t="shared" si="14"/>
        <v>Tejido</v>
      </c>
      <c r="F78" t="s">
        <v>191</v>
      </c>
      <c r="G78" s="5" t="str">
        <f t="shared" si="15"/>
        <v>Female</v>
      </c>
      <c r="H78" s="2">
        <v>3</v>
      </c>
      <c r="I78" s="6" t="s">
        <v>131</v>
      </c>
      <c r="J78" s="1">
        <v>1</v>
      </c>
      <c r="K78" s="7">
        <v>43966</v>
      </c>
      <c r="L78" s="5" t="s">
        <v>131</v>
      </c>
      <c r="M78" s="5" t="s">
        <v>131</v>
      </c>
      <c r="N78" s="7">
        <v>43969</v>
      </c>
    </row>
    <row r="79" spans="1:14" x14ac:dyDescent="0.25">
      <c r="A79">
        <f t="shared" si="13"/>
        <v>78</v>
      </c>
      <c r="B79" t="s">
        <v>287</v>
      </c>
      <c r="C79" t="s">
        <v>21</v>
      </c>
      <c r="D79" t="s">
        <v>141</v>
      </c>
      <c r="E79" s="5" t="str">
        <f t="shared" si="14"/>
        <v>Tejido</v>
      </c>
      <c r="F79" t="s">
        <v>9</v>
      </c>
      <c r="G79" s="5" t="s">
        <v>144</v>
      </c>
      <c r="H79" s="2">
        <v>3</v>
      </c>
      <c r="I79" s="6" t="s">
        <v>131</v>
      </c>
      <c r="J79" s="1">
        <v>2</v>
      </c>
      <c r="K79" s="7">
        <v>43966</v>
      </c>
      <c r="L79" s="5" t="s">
        <v>131</v>
      </c>
      <c r="M79" s="5" t="s">
        <v>131</v>
      </c>
      <c r="N79" s="7">
        <v>43969</v>
      </c>
    </row>
    <row r="80" spans="1:14" x14ac:dyDescent="0.25">
      <c r="A80">
        <f t="shared" ref="A80:A93" si="16">ROW(A79)</f>
        <v>79</v>
      </c>
      <c r="B80" t="s">
        <v>287</v>
      </c>
      <c r="C80" t="s">
        <v>21</v>
      </c>
      <c r="D80" t="s">
        <v>21</v>
      </c>
      <c r="E80" s="5" t="str">
        <f t="shared" ref="E80:E93" si="17">IF($E$1="Tipo","Tejido")</f>
        <v>Tejido</v>
      </c>
      <c r="F80" t="s">
        <v>16</v>
      </c>
      <c r="G80" s="5" t="str">
        <f>IF($G$1="Sex","Female")</f>
        <v>Female</v>
      </c>
      <c r="H80" s="2">
        <v>3</v>
      </c>
      <c r="I80" s="6" t="s">
        <v>131</v>
      </c>
      <c r="J80" s="1">
        <v>1</v>
      </c>
      <c r="K80" s="7">
        <v>43966</v>
      </c>
      <c r="L80" s="5" t="s">
        <v>131</v>
      </c>
      <c r="M80" s="5" t="s">
        <v>131</v>
      </c>
      <c r="N80" s="7">
        <v>43969</v>
      </c>
    </row>
    <row r="81" spans="1:14" x14ac:dyDescent="0.25">
      <c r="A81">
        <f t="shared" si="16"/>
        <v>80</v>
      </c>
      <c r="B81" t="s">
        <v>288</v>
      </c>
      <c r="C81" t="s">
        <v>202</v>
      </c>
      <c r="D81" t="s">
        <v>203</v>
      </c>
      <c r="E81" s="5" t="str">
        <f t="shared" si="17"/>
        <v>Tejido</v>
      </c>
      <c r="F81" t="s">
        <v>8</v>
      </c>
      <c r="G81" s="5" t="s">
        <v>144</v>
      </c>
      <c r="H81" s="2">
        <v>0</v>
      </c>
      <c r="I81" s="6" t="s">
        <v>131</v>
      </c>
      <c r="J81" s="1">
        <v>3</v>
      </c>
      <c r="K81" s="7">
        <v>43966</v>
      </c>
      <c r="L81" s="5" t="s">
        <v>131</v>
      </c>
      <c r="M81" s="5" t="s">
        <v>131</v>
      </c>
    </row>
    <row r="82" spans="1:14" x14ac:dyDescent="0.25">
      <c r="A82">
        <f t="shared" si="16"/>
        <v>81</v>
      </c>
      <c r="B82" t="s">
        <v>288</v>
      </c>
      <c r="C82" t="s">
        <v>202</v>
      </c>
      <c r="D82" t="s">
        <v>203</v>
      </c>
      <c r="E82" s="5" t="str">
        <f t="shared" si="17"/>
        <v>Tejido</v>
      </c>
      <c r="F82" t="s">
        <v>9</v>
      </c>
      <c r="G82" s="5" t="s">
        <v>144</v>
      </c>
      <c r="H82" s="2">
        <v>0</v>
      </c>
      <c r="I82" s="6" t="s">
        <v>131</v>
      </c>
      <c r="J82" s="1">
        <v>2</v>
      </c>
      <c r="K82" s="7">
        <v>43966</v>
      </c>
      <c r="L82" s="5" t="s">
        <v>131</v>
      </c>
      <c r="M82" s="5" t="s">
        <v>131</v>
      </c>
    </row>
    <row r="83" spans="1:14" x14ac:dyDescent="0.25">
      <c r="A83">
        <f t="shared" si="16"/>
        <v>82</v>
      </c>
      <c r="B83" t="s">
        <v>289</v>
      </c>
      <c r="C83" t="s">
        <v>152</v>
      </c>
      <c r="D83" t="s">
        <v>152</v>
      </c>
      <c r="E83" s="5" t="str">
        <f t="shared" si="17"/>
        <v>Tejido</v>
      </c>
      <c r="F83" t="s">
        <v>204</v>
      </c>
      <c r="G83" s="5" t="str">
        <f>IF($G$1="Sex","Female")</f>
        <v>Female</v>
      </c>
      <c r="H83" s="2">
        <v>0</v>
      </c>
      <c r="I83" s="6" t="s">
        <v>131</v>
      </c>
      <c r="J83" s="1">
        <v>1</v>
      </c>
      <c r="K83" s="7">
        <v>43966</v>
      </c>
      <c r="L83" s="5" t="str">
        <f>IF($L$1="Terminado","No")</f>
        <v>No</v>
      </c>
      <c r="M83" s="5" t="str">
        <f>IF($M$1="Entregado","No")</f>
        <v>No</v>
      </c>
    </row>
    <row r="84" spans="1:14" x14ac:dyDescent="0.25">
      <c r="A84">
        <f t="shared" si="16"/>
        <v>83</v>
      </c>
      <c r="B84" t="s">
        <v>290</v>
      </c>
      <c r="C84" t="s">
        <v>189</v>
      </c>
      <c r="D84" t="s">
        <v>190</v>
      </c>
      <c r="E84" s="5" t="str">
        <f t="shared" si="17"/>
        <v>Tejido</v>
      </c>
      <c r="F84" t="s">
        <v>9</v>
      </c>
      <c r="G84" s="5" t="s">
        <v>144</v>
      </c>
      <c r="H84" s="2">
        <v>3</v>
      </c>
      <c r="I84" s="6" t="str">
        <f>IF($I$1="Pagó","No")</f>
        <v>No</v>
      </c>
      <c r="J84" s="1">
        <v>3</v>
      </c>
      <c r="K84" s="7">
        <v>43966</v>
      </c>
      <c r="L84" s="5" t="str">
        <f>IF($L$1="Terminado","No")</f>
        <v>No</v>
      </c>
      <c r="M84" s="5" t="str">
        <f>IF($M$1="Entregado","No")</f>
        <v>No</v>
      </c>
    </row>
    <row r="85" spans="1:14" x14ac:dyDescent="0.25">
      <c r="A85">
        <f t="shared" si="16"/>
        <v>84</v>
      </c>
      <c r="B85" t="s">
        <v>291</v>
      </c>
      <c r="C85" t="s">
        <v>185</v>
      </c>
      <c r="D85" t="s">
        <v>186</v>
      </c>
      <c r="E85" s="5" t="str">
        <f t="shared" si="17"/>
        <v>Tejido</v>
      </c>
      <c r="F85" t="s">
        <v>9</v>
      </c>
      <c r="G85" s="5" t="s">
        <v>144</v>
      </c>
      <c r="H85" s="2">
        <v>3</v>
      </c>
      <c r="I85" s="6" t="s">
        <v>131</v>
      </c>
      <c r="J85" s="1">
        <v>2</v>
      </c>
      <c r="K85" s="7">
        <v>43966</v>
      </c>
      <c r="L85" s="5" t="s">
        <v>131</v>
      </c>
      <c r="M85" s="5" t="s">
        <v>131</v>
      </c>
    </row>
    <row r="86" spans="1:14" x14ac:dyDescent="0.25">
      <c r="A86">
        <f t="shared" si="16"/>
        <v>85</v>
      </c>
      <c r="B86" t="s">
        <v>274</v>
      </c>
      <c r="C86" t="s">
        <v>185</v>
      </c>
      <c r="D86" t="s">
        <v>231</v>
      </c>
      <c r="E86" s="5" t="str">
        <f t="shared" si="17"/>
        <v>Tejido</v>
      </c>
      <c r="F86" t="s">
        <v>9</v>
      </c>
      <c r="G86" s="5" t="s">
        <v>144</v>
      </c>
      <c r="H86" s="2">
        <v>0</v>
      </c>
      <c r="I86" s="6" t="s">
        <v>131</v>
      </c>
      <c r="J86" s="1">
        <v>1</v>
      </c>
      <c r="K86" s="7">
        <v>43966</v>
      </c>
      <c r="L86" s="5" t="s">
        <v>131</v>
      </c>
      <c r="M86" s="5" t="s">
        <v>131</v>
      </c>
    </row>
    <row r="87" spans="1:14" x14ac:dyDescent="0.25">
      <c r="A87">
        <f t="shared" si="16"/>
        <v>86</v>
      </c>
      <c r="B87" t="s">
        <v>292</v>
      </c>
      <c r="C87" t="s">
        <v>40</v>
      </c>
      <c r="D87" t="s">
        <v>40</v>
      </c>
      <c r="E87" s="5" t="str">
        <f t="shared" si="17"/>
        <v>Tejido</v>
      </c>
      <c r="F87" t="s">
        <v>9</v>
      </c>
      <c r="G87" s="5" t="str">
        <f t="shared" ref="G87:G93" si="18">IF($G$1="Sex","Female")</f>
        <v>Female</v>
      </c>
      <c r="H87" s="2">
        <v>3</v>
      </c>
      <c r="I87" s="6" t="s">
        <v>132</v>
      </c>
      <c r="J87" s="1">
        <v>2</v>
      </c>
      <c r="K87" s="7">
        <v>43968</v>
      </c>
      <c r="L87" s="5" t="s">
        <v>131</v>
      </c>
      <c r="M87" s="5" t="s">
        <v>131</v>
      </c>
    </row>
    <row r="88" spans="1:14" x14ac:dyDescent="0.25">
      <c r="A88">
        <f t="shared" si="16"/>
        <v>87</v>
      </c>
      <c r="B88" t="s">
        <v>292</v>
      </c>
      <c r="C88" t="s">
        <v>40</v>
      </c>
      <c r="D88" t="s">
        <v>40</v>
      </c>
      <c r="E88" s="5" t="str">
        <f t="shared" si="17"/>
        <v>Tejido</v>
      </c>
      <c r="F88" t="s">
        <v>234</v>
      </c>
      <c r="G88" s="5" t="str">
        <f t="shared" si="18"/>
        <v>Female</v>
      </c>
      <c r="H88" s="2">
        <v>3</v>
      </c>
      <c r="I88" s="6" t="str">
        <f t="shared" ref="I88:I93" si="19">IF($I$1="Pagó","No")</f>
        <v>No</v>
      </c>
      <c r="J88" s="1">
        <v>1</v>
      </c>
      <c r="K88" s="7">
        <v>43968</v>
      </c>
      <c r="L88" s="5" t="s">
        <v>131</v>
      </c>
      <c r="M88" s="5" t="s">
        <v>131</v>
      </c>
    </row>
    <row r="89" spans="1:14" x14ac:dyDescent="0.25">
      <c r="A89">
        <f t="shared" si="16"/>
        <v>88</v>
      </c>
      <c r="B89" t="s">
        <v>292</v>
      </c>
      <c r="C89" t="s">
        <v>40</v>
      </c>
      <c r="D89" t="s">
        <v>40</v>
      </c>
      <c r="E89" s="5" t="str">
        <f t="shared" si="17"/>
        <v>Tejido</v>
      </c>
      <c r="F89" t="s">
        <v>10</v>
      </c>
      <c r="G89" s="5" t="str">
        <f t="shared" si="18"/>
        <v>Female</v>
      </c>
      <c r="H89" s="2">
        <v>3</v>
      </c>
      <c r="I89" s="6" t="str">
        <f t="shared" si="19"/>
        <v>No</v>
      </c>
      <c r="J89" s="1">
        <v>2</v>
      </c>
      <c r="K89" s="7">
        <v>43968</v>
      </c>
      <c r="L89" s="5" t="s">
        <v>131</v>
      </c>
      <c r="M89" s="5" t="s">
        <v>131</v>
      </c>
    </row>
    <row r="90" spans="1:14" x14ac:dyDescent="0.25">
      <c r="A90">
        <f t="shared" si="16"/>
        <v>89</v>
      </c>
      <c r="B90" t="s">
        <v>292</v>
      </c>
      <c r="C90" t="s">
        <v>40</v>
      </c>
      <c r="D90" t="s">
        <v>40</v>
      </c>
      <c r="E90" s="5" t="str">
        <f t="shared" si="17"/>
        <v>Tejido</v>
      </c>
      <c r="F90" t="s">
        <v>16</v>
      </c>
      <c r="G90" s="5" t="str">
        <f t="shared" si="18"/>
        <v>Female</v>
      </c>
      <c r="H90" s="2">
        <v>3</v>
      </c>
      <c r="I90" s="6" t="str">
        <f t="shared" si="19"/>
        <v>No</v>
      </c>
      <c r="J90" s="1">
        <v>1</v>
      </c>
      <c r="K90" s="7">
        <v>43968</v>
      </c>
      <c r="L90" s="5" t="s">
        <v>131</v>
      </c>
      <c r="M90" s="5" t="s">
        <v>131</v>
      </c>
    </row>
    <row r="91" spans="1:14" x14ac:dyDescent="0.25">
      <c r="A91">
        <f t="shared" si="16"/>
        <v>90</v>
      </c>
      <c r="B91" t="s">
        <v>292</v>
      </c>
      <c r="C91" t="s">
        <v>40</v>
      </c>
      <c r="D91" t="s">
        <v>40</v>
      </c>
      <c r="E91" s="5" t="str">
        <f t="shared" si="17"/>
        <v>Tejido</v>
      </c>
      <c r="F91" t="s">
        <v>9</v>
      </c>
      <c r="G91" s="5" t="str">
        <f t="shared" si="18"/>
        <v>Female</v>
      </c>
      <c r="H91" s="2">
        <v>3</v>
      </c>
      <c r="I91" s="6" t="str">
        <f t="shared" si="19"/>
        <v>No</v>
      </c>
      <c r="J91" s="1">
        <v>1</v>
      </c>
      <c r="K91" s="7">
        <v>43968</v>
      </c>
      <c r="L91" s="5" t="s">
        <v>131</v>
      </c>
      <c r="M91" s="5" t="s">
        <v>131</v>
      </c>
    </row>
    <row r="92" spans="1:14" x14ac:dyDescent="0.25">
      <c r="A92">
        <f t="shared" si="16"/>
        <v>91</v>
      </c>
      <c r="B92" t="s">
        <v>292</v>
      </c>
      <c r="C92" t="s">
        <v>40</v>
      </c>
      <c r="D92" t="s">
        <v>40</v>
      </c>
      <c r="E92" s="5" t="str">
        <f t="shared" si="17"/>
        <v>Tejido</v>
      </c>
      <c r="F92" t="s">
        <v>204</v>
      </c>
      <c r="G92" s="5" t="str">
        <f t="shared" si="18"/>
        <v>Female</v>
      </c>
      <c r="H92" s="2">
        <v>3</v>
      </c>
      <c r="I92" s="6" t="str">
        <f t="shared" si="19"/>
        <v>No</v>
      </c>
      <c r="J92" s="1">
        <v>1</v>
      </c>
      <c r="K92" s="7">
        <v>43968</v>
      </c>
      <c r="L92" s="5" t="s">
        <v>131</v>
      </c>
      <c r="M92" s="5" t="s">
        <v>131</v>
      </c>
    </row>
    <row r="93" spans="1:14" ht="13.5" customHeight="1" x14ac:dyDescent="0.25">
      <c r="A93">
        <f t="shared" si="16"/>
        <v>92</v>
      </c>
      <c r="B93" t="s">
        <v>292</v>
      </c>
      <c r="C93" t="s">
        <v>40</v>
      </c>
      <c r="D93" t="s">
        <v>40</v>
      </c>
      <c r="E93" s="5" t="str">
        <f t="shared" si="17"/>
        <v>Tejido</v>
      </c>
      <c r="F93" t="s">
        <v>7</v>
      </c>
      <c r="G93" s="5" t="str">
        <f t="shared" si="18"/>
        <v>Female</v>
      </c>
      <c r="H93" s="2">
        <v>3</v>
      </c>
      <c r="I93" s="6" t="str">
        <f t="shared" si="19"/>
        <v>No</v>
      </c>
      <c r="J93" s="1">
        <v>1</v>
      </c>
      <c r="K93" s="7">
        <v>43968</v>
      </c>
      <c r="L93" s="5" t="s">
        <v>131</v>
      </c>
      <c r="M93" s="5" t="s">
        <v>131</v>
      </c>
    </row>
    <row r="94" spans="1:14" x14ac:dyDescent="0.25">
      <c r="A94">
        <f t="shared" ref="A94:A104" si="20">ROW(A93)</f>
        <v>93</v>
      </c>
      <c r="B94" t="s">
        <v>287</v>
      </c>
      <c r="C94" t="s">
        <v>21</v>
      </c>
      <c r="D94" t="s">
        <v>21</v>
      </c>
      <c r="E94" s="5" t="str">
        <f t="shared" ref="E94:E104" si="21">IF($E$1="Tipo","Tejido")</f>
        <v>Tejido</v>
      </c>
      <c r="F94" t="s">
        <v>234</v>
      </c>
      <c r="G94" s="5" t="str">
        <f>IF($G$1="Sex","Female")</f>
        <v>Female</v>
      </c>
      <c r="H94" s="2">
        <v>3</v>
      </c>
      <c r="I94" s="6" t="s">
        <v>131</v>
      </c>
      <c r="J94" s="1">
        <v>1</v>
      </c>
      <c r="K94" s="7">
        <v>43968</v>
      </c>
      <c r="L94" s="5" t="s">
        <v>131</v>
      </c>
      <c r="M94" s="5" t="s">
        <v>131</v>
      </c>
      <c r="N94" s="7">
        <v>43969</v>
      </c>
    </row>
    <row r="95" spans="1:14" x14ac:dyDescent="0.25">
      <c r="A95">
        <f t="shared" si="20"/>
        <v>94</v>
      </c>
      <c r="B95" t="s">
        <v>287</v>
      </c>
      <c r="C95" t="s">
        <v>21</v>
      </c>
      <c r="D95" t="s">
        <v>21</v>
      </c>
      <c r="E95" s="5" t="str">
        <f t="shared" si="21"/>
        <v>Tejido</v>
      </c>
      <c r="F95" t="s">
        <v>204</v>
      </c>
      <c r="G95" s="5" t="str">
        <f>IF($G$1="Sex","Female")</f>
        <v>Female</v>
      </c>
      <c r="H95" s="2">
        <v>3</v>
      </c>
      <c r="I95" s="6" t="s">
        <v>131</v>
      </c>
      <c r="J95" s="1">
        <v>1</v>
      </c>
      <c r="K95" s="7">
        <v>43968</v>
      </c>
      <c r="L95" s="5" t="s">
        <v>131</v>
      </c>
      <c r="M95" s="5" t="s">
        <v>131</v>
      </c>
      <c r="N95" s="7">
        <v>43969</v>
      </c>
    </row>
    <row r="96" spans="1:14" x14ac:dyDescent="0.25">
      <c r="A96">
        <f t="shared" si="20"/>
        <v>95</v>
      </c>
      <c r="B96" t="s">
        <v>293</v>
      </c>
      <c r="C96" t="s">
        <v>21</v>
      </c>
      <c r="D96" t="s">
        <v>21</v>
      </c>
      <c r="E96" s="5" t="str">
        <f t="shared" si="21"/>
        <v>Tejido</v>
      </c>
      <c r="F96" t="s">
        <v>15</v>
      </c>
      <c r="G96" s="5" t="str">
        <f>IF($G$1="Sex","Female")</f>
        <v>Female</v>
      </c>
      <c r="H96" s="2">
        <v>3</v>
      </c>
      <c r="I96" s="6" t="str">
        <f t="shared" ref="I96:I104" si="22">IF($I$1="Pagó","No")</f>
        <v>No</v>
      </c>
      <c r="J96" s="1">
        <v>1</v>
      </c>
      <c r="K96" s="7">
        <v>43969</v>
      </c>
      <c r="L96" s="5" t="str">
        <f t="shared" ref="L96:L103" si="23">IF($L$1="Terminado","No")</f>
        <v>No</v>
      </c>
      <c r="M96" s="5" t="str">
        <f t="shared" ref="M96:M103" si="24">IF($M$1="Entregado","No")</f>
        <v>No</v>
      </c>
    </row>
    <row r="97" spans="1:13" x14ac:dyDescent="0.25">
      <c r="A97">
        <f t="shared" si="20"/>
        <v>96</v>
      </c>
      <c r="B97" t="s">
        <v>293</v>
      </c>
      <c r="C97" t="s">
        <v>21</v>
      </c>
      <c r="D97" t="s">
        <v>21</v>
      </c>
      <c r="E97" s="5" t="str">
        <f t="shared" si="21"/>
        <v>Tejido</v>
      </c>
      <c r="F97" t="s">
        <v>204</v>
      </c>
      <c r="G97" s="5" t="str">
        <f>IF($G$1="Sex","Female")</f>
        <v>Female</v>
      </c>
      <c r="H97" s="2">
        <v>3</v>
      </c>
      <c r="I97" s="6" t="str">
        <f t="shared" si="22"/>
        <v>No</v>
      </c>
      <c r="J97" s="1">
        <v>4</v>
      </c>
      <c r="K97" s="7">
        <v>43969</v>
      </c>
      <c r="L97" s="5" t="str">
        <f t="shared" si="23"/>
        <v>No</v>
      </c>
      <c r="M97" s="5" t="str">
        <f t="shared" si="24"/>
        <v>No</v>
      </c>
    </row>
    <row r="98" spans="1:13" x14ac:dyDescent="0.25">
      <c r="A98">
        <f t="shared" si="20"/>
        <v>97</v>
      </c>
      <c r="B98" t="s">
        <v>293</v>
      </c>
      <c r="C98" t="s">
        <v>21</v>
      </c>
      <c r="D98" t="s">
        <v>21</v>
      </c>
      <c r="E98" s="5" t="str">
        <f t="shared" si="21"/>
        <v>Tejido</v>
      </c>
      <c r="F98" t="s">
        <v>9</v>
      </c>
      <c r="G98" s="5" t="s">
        <v>144</v>
      </c>
      <c r="H98" s="2">
        <v>3</v>
      </c>
      <c r="I98" s="6" t="str">
        <f t="shared" si="22"/>
        <v>No</v>
      </c>
      <c r="J98" s="1">
        <v>4</v>
      </c>
      <c r="K98" s="7">
        <v>43969</v>
      </c>
      <c r="L98" s="5" t="s">
        <v>131</v>
      </c>
      <c r="M98" s="5" t="s">
        <v>131</v>
      </c>
    </row>
    <row r="99" spans="1:13" x14ac:dyDescent="0.25">
      <c r="A99">
        <f t="shared" si="20"/>
        <v>98</v>
      </c>
      <c r="B99" t="s">
        <v>293</v>
      </c>
      <c r="C99" t="s">
        <v>21</v>
      </c>
      <c r="D99" t="s">
        <v>21</v>
      </c>
      <c r="E99" s="5" t="str">
        <f t="shared" si="21"/>
        <v>Tejido</v>
      </c>
      <c r="F99" t="s">
        <v>16</v>
      </c>
      <c r="G99" s="5" t="str">
        <f>IF($G$1="Sex","Female")</f>
        <v>Female</v>
      </c>
      <c r="H99" s="2">
        <v>3</v>
      </c>
      <c r="I99" s="6" t="str">
        <f t="shared" si="22"/>
        <v>No</v>
      </c>
      <c r="J99" s="1">
        <v>3</v>
      </c>
      <c r="K99" s="7">
        <v>43969</v>
      </c>
      <c r="L99" s="5" t="s">
        <v>131</v>
      </c>
      <c r="M99" s="5" t="s">
        <v>131</v>
      </c>
    </row>
    <row r="100" spans="1:13" x14ac:dyDescent="0.25">
      <c r="A100">
        <f t="shared" si="20"/>
        <v>99</v>
      </c>
      <c r="B100" t="s">
        <v>293</v>
      </c>
      <c r="C100" t="s">
        <v>21</v>
      </c>
      <c r="D100" t="s">
        <v>21</v>
      </c>
      <c r="E100" s="5" t="str">
        <f t="shared" si="21"/>
        <v>Tejido</v>
      </c>
      <c r="F100" t="s">
        <v>9</v>
      </c>
      <c r="G100" s="5" t="str">
        <f>IF($G$1="Sex","Female")</f>
        <v>Female</v>
      </c>
      <c r="H100" s="2">
        <v>3</v>
      </c>
      <c r="I100" s="6" t="str">
        <f t="shared" si="22"/>
        <v>No</v>
      </c>
      <c r="J100" s="1">
        <v>3</v>
      </c>
      <c r="K100" s="7">
        <v>43969</v>
      </c>
      <c r="L100" s="5" t="s">
        <v>131</v>
      </c>
      <c r="M100" s="5" t="s">
        <v>131</v>
      </c>
    </row>
    <row r="101" spans="1:13" x14ac:dyDescent="0.25">
      <c r="A101">
        <f t="shared" si="20"/>
        <v>100</v>
      </c>
      <c r="B101" t="s">
        <v>293</v>
      </c>
      <c r="C101" t="s">
        <v>21</v>
      </c>
      <c r="D101" t="s">
        <v>21</v>
      </c>
      <c r="E101" s="5" t="str">
        <f t="shared" si="21"/>
        <v>Tejido</v>
      </c>
      <c r="F101" t="s">
        <v>11</v>
      </c>
      <c r="G101" s="5" t="str">
        <f>IF($G$1="Sex","Female")</f>
        <v>Female</v>
      </c>
      <c r="H101" s="2">
        <v>3</v>
      </c>
      <c r="I101" s="6" t="str">
        <f t="shared" si="22"/>
        <v>No</v>
      </c>
      <c r="J101" s="1">
        <v>1</v>
      </c>
      <c r="K101" s="7">
        <v>43969</v>
      </c>
      <c r="L101" s="5" t="str">
        <f t="shared" si="23"/>
        <v>No</v>
      </c>
      <c r="M101" s="5" t="str">
        <f t="shared" si="24"/>
        <v>No</v>
      </c>
    </row>
    <row r="102" spans="1:13" x14ac:dyDescent="0.25">
      <c r="A102">
        <f t="shared" si="20"/>
        <v>101</v>
      </c>
      <c r="B102" t="s">
        <v>293</v>
      </c>
      <c r="C102" t="s">
        <v>21</v>
      </c>
      <c r="D102" t="s">
        <v>21</v>
      </c>
      <c r="E102" s="5" t="str">
        <f t="shared" si="21"/>
        <v>Tejido</v>
      </c>
      <c r="F102" t="s">
        <v>10</v>
      </c>
      <c r="G102" s="5" t="str">
        <f>IF($G$1="Sex","Female")</f>
        <v>Female</v>
      </c>
      <c r="H102" s="2">
        <v>3</v>
      </c>
      <c r="I102" s="6" t="str">
        <f t="shared" si="22"/>
        <v>No</v>
      </c>
      <c r="J102" s="1">
        <v>2</v>
      </c>
      <c r="K102" s="7">
        <v>43969</v>
      </c>
      <c r="L102" s="5" t="s">
        <v>131</v>
      </c>
      <c r="M102" s="5" t="s">
        <v>131</v>
      </c>
    </row>
    <row r="103" spans="1:13" x14ac:dyDescent="0.25">
      <c r="A103">
        <f t="shared" si="20"/>
        <v>102</v>
      </c>
      <c r="B103" t="s">
        <v>293</v>
      </c>
      <c r="C103" t="s">
        <v>21</v>
      </c>
      <c r="D103" t="s">
        <v>21</v>
      </c>
      <c r="E103" s="5" t="str">
        <f t="shared" si="21"/>
        <v>Tejido</v>
      </c>
      <c r="F103" t="s">
        <v>191</v>
      </c>
      <c r="G103" s="5" t="str">
        <f>IF($G$1="Sex","Female")</f>
        <v>Female</v>
      </c>
      <c r="H103" s="2">
        <v>3</v>
      </c>
      <c r="I103" s="6" t="str">
        <f t="shared" si="22"/>
        <v>No</v>
      </c>
      <c r="J103" s="1">
        <v>1</v>
      </c>
      <c r="K103" s="7">
        <v>43969</v>
      </c>
      <c r="L103" s="5" t="str">
        <f t="shared" si="23"/>
        <v>No</v>
      </c>
      <c r="M103" s="5" t="str">
        <f t="shared" si="24"/>
        <v>No</v>
      </c>
    </row>
    <row r="104" spans="1:13" x14ac:dyDescent="0.25">
      <c r="A104">
        <f t="shared" si="20"/>
        <v>103</v>
      </c>
      <c r="B104" t="s">
        <v>293</v>
      </c>
      <c r="C104" t="s">
        <v>21</v>
      </c>
      <c r="D104" t="s">
        <v>21</v>
      </c>
      <c r="E104" s="5" t="str">
        <f t="shared" si="21"/>
        <v>Tejido</v>
      </c>
      <c r="F104" t="s">
        <v>16</v>
      </c>
      <c r="G104" s="5" t="s">
        <v>144</v>
      </c>
      <c r="H104" s="2">
        <v>3</v>
      </c>
      <c r="I104" s="6" t="str">
        <f t="shared" si="22"/>
        <v>No</v>
      </c>
      <c r="J104" s="1">
        <v>3</v>
      </c>
      <c r="K104" s="7">
        <v>43969</v>
      </c>
      <c r="L104" s="5" t="s">
        <v>131</v>
      </c>
      <c r="M104" s="5" t="s">
        <v>131</v>
      </c>
    </row>
    <row r="105" spans="1:13" x14ac:dyDescent="0.25">
      <c r="A105">
        <f>ROW(A104)</f>
        <v>104</v>
      </c>
      <c r="B105" t="s">
        <v>293</v>
      </c>
      <c r="C105" t="s">
        <v>21</v>
      </c>
      <c r="D105" t="s">
        <v>21</v>
      </c>
      <c r="E105" s="5" t="str">
        <f>IF($E$1="Tipo","Tejido")</f>
        <v>Tejido</v>
      </c>
      <c r="F105" t="s">
        <v>256</v>
      </c>
      <c r="G105" s="5" t="str">
        <f>IF($G$1="Sex","Female")</f>
        <v>Female</v>
      </c>
      <c r="H105" s="2">
        <v>3</v>
      </c>
      <c r="I105" s="6" t="str">
        <f>IF($I$1="Pagó","No")</f>
        <v>No</v>
      </c>
      <c r="J105" s="1">
        <v>1</v>
      </c>
      <c r="K105" s="7">
        <v>43969</v>
      </c>
      <c r="L105" s="5" t="s">
        <v>131</v>
      </c>
      <c r="M105" s="5" t="s">
        <v>131</v>
      </c>
    </row>
    <row r="106" spans="1:13" x14ac:dyDescent="0.25">
      <c r="A106">
        <f>ROW(A105)</f>
        <v>105</v>
      </c>
      <c r="B106" t="s">
        <v>293</v>
      </c>
      <c r="C106" t="s">
        <v>21</v>
      </c>
      <c r="D106" t="s">
        <v>21</v>
      </c>
      <c r="E106" s="5" t="str">
        <f>IF($E$1="Tipo","Tejido")</f>
        <v>Tejido</v>
      </c>
      <c r="F106" t="s">
        <v>8</v>
      </c>
      <c r="G106" s="5" t="str">
        <f>IF($G$1="Sex","Female")</f>
        <v>Female</v>
      </c>
      <c r="H106" s="2">
        <v>3</v>
      </c>
      <c r="I106" s="6" t="str">
        <f>IF($I$1="Pagó","No")</f>
        <v>No</v>
      </c>
      <c r="J106" s="1">
        <v>1</v>
      </c>
      <c r="K106" s="7">
        <v>43969</v>
      </c>
      <c r="L106" s="5" t="str">
        <f>IF($L$1="Terminado","No")</f>
        <v>No</v>
      </c>
      <c r="M106" s="5" t="str">
        <f>IF($M$1="Entregado","No")</f>
        <v>No</v>
      </c>
    </row>
    <row r="107" spans="1:13" x14ac:dyDescent="0.25">
      <c r="A107">
        <f>ROW(A106)</f>
        <v>106</v>
      </c>
      <c r="B107" t="s">
        <v>293</v>
      </c>
      <c r="C107" t="s">
        <v>21</v>
      </c>
      <c r="D107" t="s">
        <v>21</v>
      </c>
      <c r="E107" s="5" t="str">
        <f>IF($E$1="Tipo","Tejido")</f>
        <v>Tejido</v>
      </c>
      <c r="F107" t="s">
        <v>257</v>
      </c>
      <c r="G107" s="5" t="s">
        <v>144</v>
      </c>
      <c r="H107" s="2">
        <v>3</v>
      </c>
      <c r="I107" s="6" t="str">
        <f>IF($I$1="Pagó","No")</f>
        <v>No</v>
      </c>
      <c r="J107" s="1">
        <v>2</v>
      </c>
      <c r="K107" s="7">
        <v>43969</v>
      </c>
      <c r="L107" s="5" t="str">
        <f>IF($L$1="Terminado","No")</f>
        <v>No</v>
      </c>
      <c r="M107" s="5" t="str">
        <f>IF($M$1="Entregado","No")</f>
        <v>No</v>
      </c>
    </row>
    <row r="108" spans="1:13" x14ac:dyDescent="0.25">
      <c r="A108">
        <f>ROW(A107)</f>
        <v>107</v>
      </c>
      <c r="B108" t="s">
        <v>293</v>
      </c>
      <c r="C108" t="s">
        <v>21</v>
      </c>
      <c r="D108" t="s">
        <v>21</v>
      </c>
      <c r="E108" s="5" t="str">
        <f>IF($E$1="Tipo","Tejido")</f>
        <v>Tejido</v>
      </c>
      <c r="F108" t="s">
        <v>9</v>
      </c>
      <c r="G108" s="5" t="str">
        <f>IF($G$1="Sex","Female")</f>
        <v>Female</v>
      </c>
      <c r="H108" s="2">
        <v>3</v>
      </c>
      <c r="I108" s="6" t="str">
        <f>IF($I$1="Pagó","No")</f>
        <v>No</v>
      </c>
      <c r="J108" s="1">
        <v>4</v>
      </c>
      <c r="K108" s="7">
        <v>43970</v>
      </c>
      <c r="L108" s="5" t="str">
        <f>IF($L$1="Terminado","No")</f>
        <v>No</v>
      </c>
      <c r="M108" s="5" t="str">
        <f>IF($M$1="Entregado","No")</f>
        <v>No</v>
      </c>
    </row>
    <row r="109" spans="1:13" x14ac:dyDescent="0.25">
      <c r="A109">
        <f>ROW(A108)</f>
        <v>108</v>
      </c>
      <c r="B109" t="s">
        <v>293</v>
      </c>
      <c r="C109" t="s">
        <v>21</v>
      </c>
      <c r="D109" t="s">
        <v>21</v>
      </c>
      <c r="E109" s="5" t="str">
        <f>IF($E$1="Tipo","Tejido")</f>
        <v>Tejido</v>
      </c>
      <c r="F109" t="s">
        <v>16</v>
      </c>
      <c r="G109" s="5" t="s">
        <v>144</v>
      </c>
      <c r="H109" s="2">
        <v>3</v>
      </c>
      <c r="I109" s="6" t="str">
        <f>IF($I$1="Pagó","No")</f>
        <v>No</v>
      </c>
      <c r="J109" s="1">
        <v>1</v>
      </c>
      <c r="K109" s="7">
        <v>43970</v>
      </c>
      <c r="L109" s="5" t="str">
        <f>IF($L$1="Terminado","No")</f>
        <v>No</v>
      </c>
      <c r="M109" s="5" t="str">
        <f>IF($M$1="Entregado","No")</f>
        <v>No</v>
      </c>
    </row>
    <row r="110" spans="1:13" x14ac:dyDescent="0.25">
      <c r="A110">
        <f>ROW(A109)</f>
        <v>109</v>
      </c>
      <c r="B110" t="s">
        <v>293</v>
      </c>
      <c r="C110" t="s">
        <v>21</v>
      </c>
      <c r="D110" t="s">
        <v>21</v>
      </c>
      <c r="E110" s="5" t="str">
        <f>IF($E$1="Tipo","Tejido")</f>
        <v>Tejido</v>
      </c>
      <c r="F110" t="s">
        <v>9</v>
      </c>
      <c r="G110" s="5" t="s">
        <v>144</v>
      </c>
      <c r="H110" s="2">
        <v>3</v>
      </c>
      <c r="I110" s="6" t="str">
        <f>IF($I$1="Pagó","No")</f>
        <v>No</v>
      </c>
      <c r="J110" s="1">
        <v>5</v>
      </c>
      <c r="K110" s="7">
        <v>43970</v>
      </c>
      <c r="L110" s="5" t="str">
        <f>IF($L$1="Terminado","No")</f>
        <v>No</v>
      </c>
      <c r="M110" s="5" t="str">
        <f>IF($M$1="Entregado","No")</f>
        <v>No</v>
      </c>
    </row>
    <row r="111" spans="1:13" x14ac:dyDescent="0.25">
      <c r="A111">
        <f>ROW(A110)</f>
        <v>110</v>
      </c>
      <c r="B111" t="s">
        <v>293</v>
      </c>
      <c r="C111" t="s">
        <v>21</v>
      </c>
      <c r="D111" t="s">
        <v>21</v>
      </c>
      <c r="E111" s="5" t="str">
        <f>IF($E$1="Tipo","Tejido")</f>
        <v>Tejido</v>
      </c>
      <c r="F111" t="s">
        <v>16</v>
      </c>
      <c r="G111" s="5" t="str">
        <f>IF($G$1="Sex","Female")</f>
        <v>Female</v>
      </c>
      <c r="H111" s="2">
        <v>3</v>
      </c>
      <c r="I111" s="6" t="str">
        <f>IF($I$1="Pagó","No")</f>
        <v>No</v>
      </c>
      <c r="J111" s="1">
        <v>1</v>
      </c>
      <c r="K111" s="7">
        <v>43970</v>
      </c>
      <c r="L111" s="5" t="str">
        <f>IF($L$1="Terminado","No")</f>
        <v>No</v>
      </c>
      <c r="M111" s="5" t="str">
        <f>IF($M$1="Entregado","No")</f>
        <v>No</v>
      </c>
    </row>
    <row r="112" spans="1:13" x14ac:dyDescent="0.25">
      <c r="A112">
        <f>ROW(A111)</f>
        <v>111</v>
      </c>
      <c r="B112" t="s">
        <v>293</v>
      </c>
      <c r="C112" t="s">
        <v>21</v>
      </c>
      <c r="D112" t="s">
        <v>21</v>
      </c>
      <c r="E112" s="5" t="str">
        <f>IF($E$1="Tipo","Tejido")</f>
        <v>Tejido</v>
      </c>
      <c r="F112" t="s">
        <v>257</v>
      </c>
      <c r="G112" s="5" t="str">
        <f>IF($G$1="Sex","Female")</f>
        <v>Female</v>
      </c>
      <c r="H112" s="2">
        <v>3</v>
      </c>
      <c r="I112" s="6" t="str">
        <f>IF($I$1="Pagó","No")</f>
        <v>No</v>
      </c>
      <c r="J112" s="1">
        <v>2</v>
      </c>
      <c r="K112" s="7">
        <v>43970</v>
      </c>
      <c r="L112" s="5" t="str">
        <f>IF($L$1="Terminado","No")</f>
        <v>No</v>
      </c>
      <c r="M112" s="5" t="str">
        <f>IF($M$1="Entregado","No")</f>
        <v>No</v>
      </c>
    </row>
    <row r="116" spans="3:10" x14ac:dyDescent="0.25">
      <c r="C116" cm="1">
        <f t="array" ref="C116">SUMIFS(rngCantidadVentas,tVentas[NumeroOrden],C117,tVentas[Cliente],D117)</f>
        <v>39</v>
      </c>
      <c r="D116" cm="1">
        <f t="array" ref="D116">SUMPRODUCT(--(tVentas[NumeroOrden]=C117),--(tVentas[Cliente]=D117),tVentas[Precio],tVentas[Cantidad])</f>
        <v>117</v>
      </c>
      <c r="J116" cm="1">
        <f t="array" ref="J116">SUMIF(tVentas[Terminado],"Sí",rngCantidadVentas)</f>
        <v>162</v>
      </c>
    </row>
    <row r="117" spans="3:10" x14ac:dyDescent="0.25">
      <c r="C117" t="s">
        <v>293</v>
      </c>
      <c r="D117" t="s">
        <v>21</v>
      </c>
    </row>
  </sheetData>
  <phoneticPr fontId="2" type="noConversion"/>
  <dataValidations count="7">
    <dataValidation type="list" allowBlank="1" showInputMessage="1" showErrorMessage="1" sqref="C2:C51 C70:C82 C58:C59 C60:D69 D2:D112" xr:uid="{436AA78F-A3B7-4565-BB48-C530188C6131}">
      <formula1>rngNameClient</formula1>
    </dataValidation>
    <dataValidation type="list" allowBlank="1" showInputMessage="1" showErrorMessage="1" sqref="F2:F112" xr:uid="{22895CDE-35BC-410B-B977-ABBE7B72DDD5}">
      <formula1>rngColor</formula1>
    </dataValidation>
    <dataValidation type="list" allowBlank="1" showInputMessage="1" showErrorMessage="1" sqref="H2:H112" xr:uid="{84C8DF71-949F-453A-AF64-3504E3E829C2}">
      <formula1>rngPrecio</formula1>
    </dataValidation>
    <dataValidation type="list" allowBlank="1" showInputMessage="1" showErrorMessage="1" sqref="L2:M3" xr:uid="{9B7EE544-D49F-418E-86E4-25DDBA786231}">
      <formula1>rngBol</formula1>
    </dataValidation>
    <dataValidation type="list" allowBlank="1" showInputMessage="1" showErrorMessage="1" sqref="E2:E3" xr:uid="{38B604CB-C770-4B3A-8E9E-F07F12693AC2}">
      <formula1>rngCostura</formula1>
    </dataValidation>
    <dataValidation type="list" allowBlank="1" showInputMessage="1" showErrorMessage="1" sqref="G2:G112" xr:uid="{D824FEAA-557F-4C66-BFCF-FDED063A1BD2}">
      <formula1>rngSex</formula1>
    </dataValidation>
    <dataValidation type="list" allowBlank="1" showInputMessage="1" sqref="I2:I112" xr:uid="{391CC46A-AD7E-4C8D-8286-F1AAE32F1ABD}">
      <formula1>rngBol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4D66-8CD2-4AAA-BF41-3FE12CC8B122}">
  <sheetPr codeName="Sheet5"/>
  <dimension ref="A1:L31"/>
  <sheetViews>
    <sheetView topLeftCell="B1" workbookViewId="0">
      <selection activeCell="K23" sqref="K23"/>
    </sheetView>
  </sheetViews>
  <sheetFormatPr defaultRowHeight="15" x14ac:dyDescent="0.25"/>
  <cols>
    <col min="1" max="1" width="15.42578125" customWidth="1"/>
    <col min="2" max="2" width="18.28515625" customWidth="1"/>
    <col min="3" max="3" width="14" style="3" customWidth="1"/>
    <col min="4" max="5" width="27.42578125" customWidth="1"/>
    <col min="6" max="6" width="21.7109375" customWidth="1"/>
    <col min="7" max="7" width="11.5703125" bestFit="1" customWidth="1"/>
    <col min="9" max="9" width="9.140625" customWidth="1"/>
    <col min="10" max="10" width="17.5703125" customWidth="1"/>
    <col min="11" max="11" width="12.140625" style="2" customWidth="1"/>
    <col min="12" max="12" width="9.140625" style="2"/>
  </cols>
  <sheetData>
    <row r="1" spans="1:12" x14ac:dyDescent="0.25">
      <c r="A1" t="s">
        <v>22</v>
      </c>
      <c r="B1" t="s">
        <v>19</v>
      </c>
      <c r="C1" s="3" t="s">
        <v>20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192</v>
      </c>
      <c r="K1" s="2" t="s">
        <v>188</v>
      </c>
      <c r="L1" s="2" t="s">
        <v>187</v>
      </c>
    </row>
    <row r="2" spans="1:12" x14ac:dyDescent="0.25">
      <c r="A2">
        <f>ROW(A1)</f>
        <v>1</v>
      </c>
      <c r="B2" t="s">
        <v>21</v>
      </c>
      <c r="C2" s="3">
        <v>7872420011</v>
      </c>
      <c r="F2" t="s">
        <v>49</v>
      </c>
      <c r="H2" s="23"/>
      <c r="J2">
        <f>SUMIFS(tVentas[Cantidad],tVentas[Cliente],B2)</f>
        <v>91</v>
      </c>
      <c r="K2" s="2" cm="1">
        <f t="array" ref="K2">SUMPRODUCT(--(tVentas[Cliente]=B2),tVentas[Precio],tVentas[Cantidad])</f>
        <v>252</v>
      </c>
      <c r="L2" s="2" cm="1">
        <f t="array" ref="L2">SUMPRODUCT(--(tVentas[Cliente]=B2),--(tVentas[Pagó]="Sí"),tVentas[Precio],tVentas[Cantidad])</f>
        <v>135</v>
      </c>
    </row>
    <row r="3" spans="1:12" x14ac:dyDescent="0.25">
      <c r="A3">
        <f t="shared" ref="A3:A19" si="0">ROW(A2)</f>
        <v>2</v>
      </c>
      <c r="B3" t="s">
        <v>23</v>
      </c>
      <c r="C3" s="3">
        <v>7875628097</v>
      </c>
      <c r="F3" t="s">
        <v>49</v>
      </c>
      <c r="H3" s="23"/>
      <c r="J3">
        <f>SUMIFS(tVentas[Cantidad],tVentas[Cliente],B3)</f>
        <v>30</v>
      </c>
      <c r="K3" s="2" cm="1">
        <f t="array" ref="K3">SUMPRODUCT(--(tVentas[Cliente]=B3),tVentas[Precio],tVentas[Cantidad])</f>
        <v>84</v>
      </c>
      <c r="L3" s="2" cm="1">
        <f t="array" ref="L3">SUMPRODUCT(--(tVentas[Cliente]=B3),--(tVentas[Pagó]="Sí"),tVentas[Precio],tVentas[Cantidad])</f>
        <v>84</v>
      </c>
    </row>
    <row r="4" spans="1:12" x14ac:dyDescent="0.25">
      <c r="A4">
        <f t="shared" si="0"/>
        <v>3</v>
      </c>
      <c r="B4" t="s">
        <v>24</v>
      </c>
      <c r="C4" s="3">
        <v>7874628760</v>
      </c>
      <c r="F4" t="s">
        <v>49</v>
      </c>
      <c r="H4" s="23"/>
      <c r="J4">
        <f>SUMIFS(tVentas[Cantidad],tVentas[Cliente],B4)</f>
        <v>4</v>
      </c>
      <c r="K4" s="2" cm="1">
        <f t="array" ref="K4">SUMPRODUCT(--(tVentas[Cliente]=B4),tVentas[Precio],tVentas[Cantidad])</f>
        <v>12</v>
      </c>
      <c r="L4" s="2" cm="1">
        <f t="array" ref="L4">SUMPRODUCT(--(tVentas[Cliente]=B4),--(tVentas[Pagó]="Sí"),tVentas[Precio],tVentas[Cantidad])</f>
        <v>12</v>
      </c>
    </row>
    <row r="5" spans="1:12" x14ac:dyDescent="0.25">
      <c r="A5">
        <f t="shared" si="0"/>
        <v>4</v>
      </c>
      <c r="B5" t="s">
        <v>40</v>
      </c>
      <c r="F5" t="s">
        <v>49</v>
      </c>
      <c r="H5" s="23"/>
      <c r="J5">
        <f>SUMIFS(tVentas[Cantidad],tVentas[Cliente],B5)</f>
        <v>14</v>
      </c>
      <c r="K5" s="2" cm="1">
        <f t="array" ref="K5">SUMPRODUCT(--(tVentas[Cliente]=B5),tVentas[Precio],tVentas[Cantidad])</f>
        <v>36</v>
      </c>
      <c r="L5" s="2" cm="1">
        <f t="array" ref="L5">SUMPRODUCT(--(tVentas[Cliente]=B5),--(tVentas[Pagó]="Sí"),tVentas[Precio],tVentas[Cantidad])</f>
        <v>9</v>
      </c>
    </row>
    <row r="6" spans="1:12" x14ac:dyDescent="0.25">
      <c r="A6">
        <f t="shared" si="0"/>
        <v>5</v>
      </c>
      <c r="B6" t="s">
        <v>41</v>
      </c>
      <c r="F6" t="str">
        <f t="shared" ref="F6:F13" si="1">IF($F$1="Pueblo","--SELECT--")</f>
        <v>--SELECT--</v>
      </c>
      <c r="H6" s="23"/>
      <c r="J6">
        <f>SUMIFS(tVentas[Cantidad],tVentas[Cliente],B6)</f>
        <v>0</v>
      </c>
      <c r="K6" s="2" cm="1">
        <f t="array" ref="K6">SUMPRODUCT(--(tVentas[Cliente]=B6),tVentas[Precio],tVentas[Cantidad])</f>
        <v>0</v>
      </c>
      <c r="L6" s="2" cm="1">
        <f t="array" ref="L6">SUMPRODUCT(--(tVentas[Cliente]=B6),--(tVentas[Pagó]="Sí"),tVentas[Precio],tVentas[Cantidad])</f>
        <v>0</v>
      </c>
    </row>
    <row r="7" spans="1:12" x14ac:dyDescent="0.25">
      <c r="A7">
        <f t="shared" si="0"/>
        <v>6</v>
      </c>
      <c r="B7" t="s">
        <v>42</v>
      </c>
      <c r="F7" t="str">
        <f t="shared" si="1"/>
        <v>--SELECT--</v>
      </c>
      <c r="H7" s="23"/>
      <c r="J7">
        <f>SUMIFS(tVentas[Cantidad],tVentas[Cliente],B7)</f>
        <v>0</v>
      </c>
      <c r="K7" s="2" cm="1">
        <f t="array" ref="K7">SUMPRODUCT(--(tVentas[Cliente]=B7),tVentas[Precio],tVentas[Cantidad])</f>
        <v>0</v>
      </c>
      <c r="L7" s="2" cm="1">
        <f t="array" ref="L7">SUMPRODUCT(--(tVentas[Cliente]=B7),--(tVentas[Pagó]="Sí"),tVentas[Precio],tVentas[Cantidad])</f>
        <v>0</v>
      </c>
    </row>
    <row r="8" spans="1:12" x14ac:dyDescent="0.25">
      <c r="A8">
        <f t="shared" si="0"/>
        <v>7</v>
      </c>
      <c r="B8" t="s">
        <v>150</v>
      </c>
      <c r="F8" t="str">
        <f t="shared" si="1"/>
        <v>--SELECT--</v>
      </c>
      <c r="H8" s="23"/>
      <c r="J8">
        <f>SUMIFS(tVentas[Cantidad],tVentas[Cliente],B8)</f>
        <v>0</v>
      </c>
      <c r="K8" s="2" cm="1">
        <f t="array" ref="K8">SUMPRODUCT(--(tVentas[Cliente]=B8),tVentas[Precio],tVentas[Cantidad])</f>
        <v>0</v>
      </c>
      <c r="L8" s="2" cm="1">
        <f t="array" ref="L8">SUMPRODUCT(--(tVentas[Cliente]=B8),--(tVentas[Pagó]="Sí"),tVentas[Precio],tVentas[Cantidad])</f>
        <v>0</v>
      </c>
    </row>
    <row r="9" spans="1:12" x14ac:dyDescent="0.25">
      <c r="A9">
        <f t="shared" si="0"/>
        <v>8</v>
      </c>
      <c r="B9" t="s">
        <v>43</v>
      </c>
      <c r="F9" t="str">
        <f t="shared" si="1"/>
        <v>--SELECT--</v>
      </c>
      <c r="H9" s="23"/>
      <c r="J9">
        <f>SUMIFS(tVentas[Cantidad],tVentas[Cliente],B9)</f>
        <v>2</v>
      </c>
      <c r="K9" s="2" cm="1">
        <f t="array" ref="K9">SUMPRODUCT(--(tVentas[Cliente]=B9),tVentas[Precio],tVentas[Cantidad])</f>
        <v>0</v>
      </c>
      <c r="L9" s="2" cm="1">
        <f t="array" ref="L9">SUMPRODUCT(--(tVentas[Cliente]=B9),--(tVentas[Pagó]="Sí"),tVentas[Precio],tVentas[Cantidad])</f>
        <v>0</v>
      </c>
    </row>
    <row r="10" spans="1:12" x14ac:dyDescent="0.25">
      <c r="A10">
        <f t="shared" si="0"/>
        <v>9</v>
      </c>
      <c r="B10" t="s">
        <v>44</v>
      </c>
      <c r="F10" t="str">
        <f t="shared" si="1"/>
        <v>--SELECT--</v>
      </c>
      <c r="H10" s="23"/>
      <c r="J10">
        <f>SUMIFS(tVentas[Cantidad],tVentas[Cliente],B10)</f>
        <v>12</v>
      </c>
      <c r="K10" s="2" cm="1">
        <f t="array" ref="K10">SUMPRODUCT(--(tVentas[Cliente]=B10),tVentas[Precio],tVentas[Cantidad])</f>
        <v>27</v>
      </c>
      <c r="L10" s="2" cm="1">
        <f t="array" ref="L10">SUMPRODUCT(--(tVentas[Cliente]=B10),--(tVentas[Pagó]="Sí"),tVentas[Precio],tVentas[Cantidad])</f>
        <v>27</v>
      </c>
    </row>
    <row r="11" spans="1:12" x14ac:dyDescent="0.25">
      <c r="A11">
        <f t="shared" si="0"/>
        <v>10</v>
      </c>
      <c r="B11" t="s">
        <v>45</v>
      </c>
      <c r="C11" s="3">
        <v>2036006534</v>
      </c>
      <c r="D11" t="s">
        <v>193</v>
      </c>
      <c r="F11" t="s">
        <v>194</v>
      </c>
      <c r="G11" t="s">
        <v>230</v>
      </c>
      <c r="H11" s="23">
        <v>6450</v>
      </c>
      <c r="J11">
        <f>SUMIFS(tVentas[Cantidad],tVentas[Cliente],B11)</f>
        <v>1</v>
      </c>
      <c r="K11" s="2" cm="1">
        <f t="array" ref="K11">SUMPRODUCT(--(tVentas[Cliente]=B11),tVentas[Precio],tVentas[Cantidad])</f>
        <v>0</v>
      </c>
      <c r="L11" s="2" cm="1">
        <f t="array" ref="L11">SUMPRODUCT(--(tVentas[Cliente]=B11),--(tVentas[Pagó]="Sí"),tVentas[Precio],tVentas[Cantidad])</f>
        <v>0</v>
      </c>
    </row>
    <row r="12" spans="1:12" x14ac:dyDescent="0.25">
      <c r="A12">
        <f t="shared" si="0"/>
        <v>11</v>
      </c>
      <c r="B12" t="s">
        <v>46</v>
      </c>
      <c r="F12" t="str">
        <f t="shared" si="1"/>
        <v>--SELECT--</v>
      </c>
      <c r="H12" s="23"/>
      <c r="J12">
        <f>SUMIFS(tVentas[Cantidad],tVentas[Cliente],B12)</f>
        <v>0</v>
      </c>
      <c r="K12" s="2" cm="1">
        <f t="array" ref="K12">SUMPRODUCT(--(tVentas[Cliente]=B12),tVentas[Precio],tVentas[Cantidad])</f>
        <v>0</v>
      </c>
      <c r="L12" s="2" cm="1">
        <f t="array" ref="L12">SUMPRODUCT(--(tVentas[Cliente]=B12),--(tVentas[Pagó]="Sí"),tVentas[Precio],tVentas[Cantidad])</f>
        <v>0</v>
      </c>
    </row>
    <row r="13" spans="1:12" x14ac:dyDescent="0.25">
      <c r="A13">
        <f t="shared" si="0"/>
        <v>12</v>
      </c>
      <c r="B13" t="s">
        <v>47</v>
      </c>
      <c r="F13" t="str">
        <f t="shared" si="1"/>
        <v>--SELECT--</v>
      </c>
      <c r="H13" s="23"/>
      <c r="J13">
        <f>SUMIFS(tVentas[Cantidad],tVentas[Cliente],B13)</f>
        <v>1</v>
      </c>
      <c r="K13" s="2" cm="1">
        <f t="array" ref="K13">SUMPRODUCT(--(tVentas[Cliente]=B13),tVentas[Precio],tVentas[Cantidad])</f>
        <v>0</v>
      </c>
      <c r="L13" s="2" cm="1">
        <f t="array" ref="L13">SUMPRODUCT(--(tVentas[Cliente]=B13),--(tVentas[Pagó]="Sí"),tVentas[Precio],tVentas[Cantidad])</f>
        <v>0</v>
      </c>
    </row>
    <row r="14" spans="1:12" x14ac:dyDescent="0.25">
      <c r="A14">
        <f t="shared" si="0"/>
        <v>13</v>
      </c>
      <c r="B14" t="s">
        <v>140</v>
      </c>
      <c r="F14" s="5" t="str">
        <f t="shared" ref="F14:F20" si="2">IF($F$1="Pueblo","--SELECT--")</f>
        <v>--SELECT--</v>
      </c>
      <c r="H14" s="23"/>
      <c r="J14">
        <f>SUMIFS(tVentas[Cantidad],tVentas[Cliente],B14)</f>
        <v>0</v>
      </c>
      <c r="K14" s="2" cm="1">
        <f t="array" ref="K14">SUMPRODUCT(--(tVentas[Cliente]=B14),tVentas[Precio],tVentas[Cantidad])</f>
        <v>0</v>
      </c>
      <c r="L14" s="2" cm="1">
        <f t="array" ref="L14">SUMPRODUCT(--(tVentas[Cliente]=B14),--(tVentas[Pagó]="Sí"),tVentas[Precio],tVentas[Cantidad])</f>
        <v>0</v>
      </c>
    </row>
    <row r="15" spans="1:12" x14ac:dyDescent="0.25">
      <c r="A15">
        <f t="shared" si="0"/>
        <v>14</v>
      </c>
      <c r="B15" t="s">
        <v>141</v>
      </c>
      <c r="F15" s="5" t="str">
        <f t="shared" si="2"/>
        <v>--SELECT--</v>
      </c>
      <c r="H15" s="23"/>
      <c r="J15">
        <f>SUMIFS(tVentas[Cantidad],tVentas[Cliente],B15)</f>
        <v>0</v>
      </c>
      <c r="K15" s="2" cm="1">
        <f t="array" ref="K15">SUMPRODUCT(--(tVentas[Cliente]=B15),tVentas[Precio],tVentas[Cantidad])</f>
        <v>0</v>
      </c>
      <c r="L15" s="2" cm="1">
        <f t="array" ref="L15">SUMPRODUCT(--(tVentas[Cliente]=B15),--(tVentas[Pagó]="Sí"),tVentas[Precio],tVentas[Cantidad])</f>
        <v>0</v>
      </c>
    </row>
    <row r="16" spans="1:12" x14ac:dyDescent="0.25">
      <c r="A16">
        <f t="shared" si="0"/>
        <v>15</v>
      </c>
      <c r="B16" t="s">
        <v>148</v>
      </c>
      <c r="F16" s="5" t="str">
        <f t="shared" si="2"/>
        <v>--SELECT--</v>
      </c>
      <c r="H16" s="23"/>
      <c r="J16">
        <f>SUMIFS(tVentas[Cantidad],tVentas[Cliente],B16)</f>
        <v>0</v>
      </c>
      <c r="K16" s="2" cm="1">
        <f t="array" ref="K16">SUMPRODUCT(--(tVentas[Cliente]=B16),tVentas[Precio],tVentas[Cantidad])</f>
        <v>0</v>
      </c>
      <c r="L16" s="2" cm="1">
        <f t="array" ref="L16">SUMPRODUCT(--(tVentas[Cliente]=B16),--(tVentas[Pagó]="Sí"),tVentas[Precio],tVentas[Cantidad])</f>
        <v>0</v>
      </c>
    </row>
    <row r="17" spans="1:12" x14ac:dyDescent="0.25">
      <c r="A17">
        <f t="shared" si="0"/>
        <v>16</v>
      </c>
      <c r="B17" t="s">
        <v>149</v>
      </c>
      <c r="F17" s="5" t="str">
        <f t="shared" si="2"/>
        <v>--SELECT--</v>
      </c>
      <c r="H17" s="23"/>
      <c r="J17">
        <f>SUMIFS(tVentas[Cantidad],tVentas[Cliente],B17)</f>
        <v>0</v>
      </c>
      <c r="K17" s="2" cm="1">
        <f t="array" ref="K17">SUMPRODUCT(--(tVentas[Cliente]=B17),tVentas[Precio],tVentas[Cantidad])</f>
        <v>0</v>
      </c>
      <c r="L17" s="2" cm="1">
        <f t="array" ref="L17">SUMPRODUCT(--(tVentas[Cliente]=B17),--(tVentas[Pagó]="Sí"),tVentas[Precio],tVentas[Cantidad])</f>
        <v>0</v>
      </c>
    </row>
    <row r="18" spans="1:12" x14ac:dyDescent="0.25">
      <c r="A18">
        <f t="shared" si="0"/>
        <v>17</v>
      </c>
      <c r="B18" t="s">
        <v>151</v>
      </c>
      <c r="F18" s="5" t="str">
        <f t="shared" si="2"/>
        <v>--SELECT--</v>
      </c>
      <c r="H18" s="23"/>
      <c r="J18">
        <f>SUMIFS(tVentas[Cantidad],tVentas[Cliente],B18)</f>
        <v>3</v>
      </c>
      <c r="K18" s="2" cm="1">
        <f t="array" ref="K18">SUMPRODUCT(--(tVentas[Cliente]=B18),tVentas[Precio],tVentas[Cantidad])</f>
        <v>0</v>
      </c>
      <c r="L18" s="2" cm="1">
        <f t="array" ref="L18">SUMPRODUCT(--(tVentas[Cliente]=B18),--(tVentas[Pagó]="Sí"),tVentas[Precio],tVentas[Cantidad])</f>
        <v>0</v>
      </c>
    </row>
    <row r="19" spans="1:12" x14ac:dyDescent="0.25">
      <c r="A19">
        <f t="shared" si="0"/>
        <v>18</v>
      </c>
      <c r="B19" t="s">
        <v>153</v>
      </c>
      <c r="F19" s="5" t="str">
        <f t="shared" si="2"/>
        <v>--SELECT--</v>
      </c>
      <c r="H19" s="23"/>
      <c r="J19">
        <f>SUMIFS(tVentas[Cantidad],tVentas[Cliente],B19)</f>
        <v>1</v>
      </c>
      <c r="K19" s="2" cm="1">
        <f t="array" ref="K19">SUMPRODUCT(--(tVentas[Cliente]=B19),tVentas[Precio],tVentas[Cantidad])</f>
        <v>0</v>
      </c>
      <c r="L19" s="2" cm="1">
        <f t="array" ref="L19">SUMPRODUCT(--(tVentas[Cliente]=B19),--(tVentas[Pagó]="Sí"),tVentas[Precio],tVentas[Cantidad])</f>
        <v>0</v>
      </c>
    </row>
    <row r="20" spans="1:12" x14ac:dyDescent="0.25">
      <c r="A20">
        <f t="shared" ref="A20:A26" si="3">ROW(A19)</f>
        <v>19</v>
      </c>
      <c r="B20" t="s">
        <v>154</v>
      </c>
      <c r="F20" s="5" t="str">
        <f t="shared" si="2"/>
        <v>--SELECT--</v>
      </c>
      <c r="H20" s="23"/>
      <c r="J20">
        <f>SUMIFS(tVentas[Cantidad],tVentas[Cliente],B20)</f>
        <v>1</v>
      </c>
      <c r="K20" s="2" cm="1">
        <f t="array" ref="K20">SUMPRODUCT(--(tVentas[Cliente]=B20),tVentas[Precio],tVentas[Cantidad])</f>
        <v>0</v>
      </c>
      <c r="L20" s="2" cm="1">
        <f t="array" ref="L20">SUMPRODUCT(--(tVentas[Cliente]=B20),--(tVentas[Pagó]="Sí"),tVentas[Precio],tVentas[Cantidad])</f>
        <v>0</v>
      </c>
    </row>
    <row r="21" spans="1:12" x14ac:dyDescent="0.25">
      <c r="A21">
        <f t="shared" si="3"/>
        <v>20</v>
      </c>
      <c r="B21" t="s">
        <v>185</v>
      </c>
      <c r="F21" s="5" t="str">
        <f>IF($F$1="Pueblo","--SELECT--")</f>
        <v>--SELECT--</v>
      </c>
      <c r="H21" s="23"/>
      <c r="J21">
        <f>SUMIFS(tVentas[Cantidad],tVentas[Cliente],B21)</f>
        <v>5</v>
      </c>
      <c r="K21" s="2" cm="1">
        <f t="array" ref="K21">SUMPRODUCT(--(tVentas[Cliente]=B21),tVentas[Precio],tVentas[Cantidad])</f>
        <v>12</v>
      </c>
      <c r="L21" s="2" cm="1">
        <f t="array" ref="L21">SUMPRODUCT(--(tVentas[Cliente]=B21),--(tVentas[Pagó]="Sí"),tVentas[Precio],tVentas[Cantidad])</f>
        <v>12</v>
      </c>
    </row>
    <row r="22" spans="1:12" x14ac:dyDescent="0.25">
      <c r="A22">
        <f t="shared" si="3"/>
        <v>21</v>
      </c>
      <c r="B22" t="s">
        <v>186</v>
      </c>
      <c r="F22" s="5" t="str">
        <f>IF($F$1="Pueblo","--SELECT--")</f>
        <v>--SELECT--</v>
      </c>
      <c r="H22" s="23"/>
      <c r="J22">
        <f>SUMIFS(tVentas[Cantidad],tVentas[Cliente],B22)</f>
        <v>0</v>
      </c>
      <c r="K22" s="2" cm="1">
        <f t="array" ref="K22">SUMPRODUCT(--(tVentas[Cliente]=B22),tVentas[Precio],tVentas[Cantidad])</f>
        <v>0</v>
      </c>
      <c r="L22" s="2" cm="1">
        <f t="array" ref="L22">SUMPRODUCT(--(tVentas[Cliente]=B22),--(tVentas[Pagó]="Sí"),tVentas[Precio],tVentas[Cantidad])</f>
        <v>0</v>
      </c>
    </row>
    <row r="23" spans="1:12" x14ac:dyDescent="0.25">
      <c r="A23">
        <f t="shared" si="3"/>
        <v>22</v>
      </c>
      <c r="B23" t="s">
        <v>189</v>
      </c>
      <c r="F23" s="5" t="str">
        <f>IF($F$1="Pueblo","--SELECT--")</f>
        <v>--SELECT--</v>
      </c>
      <c r="H23" s="23"/>
      <c r="J23">
        <f>SUMIFS(tVentas[Cantidad],tVentas[Cliente],B23)</f>
        <v>18</v>
      </c>
      <c r="K23" s="2" cm="1">
        <f t="array" ref="K23">SUMPRODUCT(--(tVentas[Cliente]=B23),tVentas[Precio],tVentas[Cantidad])</f>
        <v>54</v>
      </c>
      <c r="L23" s="2" cm="1">
        <f t="array" ref="L23">SUMPRODUCT(--(tVentas[Cliente]=B23),--(tVentas[Pagó]="Sí"),tVentas[Precio],tVentas[Cantidad])</f>
        <v>45</v>
      </c>
    </row>
    <row r="24" spans="1:12" x14ac:dyDescent="0.25">
      <c r="A24">
        <f t="shared" si="3"/>
        <v>23</v>
      </c>
      <c r="B24" t="s">
        <v>232</v>
      </c>
      <c r="F24" s="5" t="str">
        <f>IF($F$1="Pueblo","--SELECT--")</f>
        <v>--SELECT--</v>
      </c>
      <c r="H24" s="23"/>
      <c r="J24">
        <f>SUMIFS(tVentas[Cantidad],tVentas[Cliente],B24)</f>
        <v>0</v>
      </c>
      <c r="K24" s="2" cm="1">
        <f t="array" ref="K24">SUMPRODUCT(--(tVentas[Cliente]=B24),tVentas[Precio],tVentas[Cantidad])</f>
        <v>0</v>
      </c>
      <c r="L24" s="2" cm="1">
        <f t="array" ref="L24">SUMPRODUCT(--(tVentas[Cliente]=B24),--(tVentas[Pagó]="Sí"),tVentas[Precio],tVentas[Cantidad])</f>
        <v>0</v>
      </c>
    </row>
    <row r="25" spans="1:12" x14ac:dyDescent="0.25">
      <c r="A25">
        <f t="shared" si="3"/>
        <v>24</v>
      </c>
      <c r="B25" t="s">
        <v>152</v>
      </c>
      <c r="F25" s="5" t="str">
        <f>IF($F$1="Pueblo","--SELECT--")</f>
        <v>--SELECT--</v>
      </c>
      <c r="H25" s="23"/>
      <c r="J25" s="5">
        <f>SUMIFS(tVentas[Cantidad],tVentas[Cliente],B25)</f>
        <v>3</v>
      </c>
      <c r="K25" s="2" cm="1">
        <f t="array" ref="K25">SUMPRODUCT(--(tVentas[Cliente]=B25),tVentas[Precio],tVentas[Cantidad])</f>
        <v>0</v>
      </c>
      <c r="L25" s="2" cm="1">
        <f t="array" ref="L25">SUMPRODUCT(--(tVentas[Cliente]=B25),--(tVentas[Pagó]="Sí"),tVentas[Precio],tVentas[Cantidad])</f>
        <v>0</v>
      </c>
    </row>
    <row r="26" spans="1:12" x14ac:dyDescent="0.25">
      <c r="A26">
        <f t="shared" si="3"/>
        <v>25</v>
      </c>
      <c r="B26" t="s">
        <v>197</v>
      </c>
      <c r="F26" s="5" t="s">
        <v>49</v>
      </c>
      <c r="G26" t="s">
        <v>198</v>
      </c>
      <c r="H26" s="23"/>
      <c r="J26" s="5">
        <f>SUMIFS(tVentas[Cantidad],tVentas[Cliente],B26)</f>
        <v>2</v>
      </c>
      <c r="K26" s="2" cm="1">
        <f t="array" ref="K26">SUMPRODUCT(--(tVentas[Cliente]=B26),tVentas[Precio],tVentas[Cantidad])</f>
        <v>0</v>
      </c>
      <c r="L26" s="2" cm="1">
        <f t="array" ref="L26">SUMPRODUCT(--(tVentas[Cliente]=B26),--(tVentas[Pagó]="Sí"),tVentas[Precio],tVentas[Cantidad])</f>
        <v>0</v>
      </c>
    </row>
    <row r="27" spans="1:12" x14ac:dyDescent="0.25">
      <c r="A27">
        <f>ROW(A26)</f>
        <v>26</v>
      </c>
      <c r="B27" t="s">
        <v>202</v>
      </c>
      <c r="F27" s="5" t="str">
        <f>IF($F$1="Pueblo","--SELECT--")</f>
        <v>--SELECT--</v>
      </c>
      <c r="H27" s="23"/>
      <c r="J27" s="5">
        <f>SUMIFS(tVentas[Cantidad],tVentas[Cliente],B27)</f>
        <v>5</v>
      </c>
      <c r="K27" s="2" cm="1">
        <f t="array" ref="K27">SUMPRODUCT(--(tVentas[Cliente]=B27),tVentas[Precio],tVentas[Cantidad])</f>
        <v>0</v>
      </c>
      <c r="L27" s="2" cm="1">
        <f t="array" ref="L27">SUMPRODUCT(--(tVentas[Cliente]=B27),--(tVentas[Pagó]="Sí"),tVentas[Precio],tVentas[Cantidad])</f>
        <v>0</v>
      </c>
    </row>
    <row r="28" spans="1:12" x14ac:dyDescent="0.25">
      <c r="A28">
        <f>ROW(A27)</f>
        <v>27</v>
      </c>
      <c r="B28" t="s">
        <v>203</v>
      </c>
      <c r="F28" s="5" t="str">
        <f>IF($F$1="Pueblo","--SELECT--")</f>
        <v>--SELECT--</v>
      </c>
      <c r="H28" s="23"/>
      <c r="J28" s="5">
        <f>SUMIFS(tVentas[Cantidad],tVentas[Cliente],B28)</f>
        <v>0</v>
      </c>
      <c r="K28" s="2" cm="1">
        <f t="array" ref="K28">SUMPRODUCT(--(tVentas[Cliente]=B28),tVentas[Precio],tVentas[Cantidad])</f>
        <v>0</v>
      </c>
      <c r="L28" s="2" cm="1">
        <f t="array" ref="L28">SUMPRODUCT(--(tVentas[Cliente]=B28),--(tVentas[Pagó]="Sí"),tVentas[Precio],tVentas[Cantidad])</f>
        <v>0</v>
      </c>
    </row>
    <row r="31" spans="1:12" x14ac:dyDescent="0.25">
      <c r="L31" s="2">
        <f>SUM(L2:L28)</f>
        <v>324</v>
      </c>
    </row>
  </sheetData>
  <phoneticPr fontId="2" type="noConversion"/>
  <dataValidations count="1">
    <dataValidation type="list" allowBlank="1" showInputMessage="1" showErrorMessage="1" sqref="F2:F25" xr:uid="{FD133FD4-6904-4AC7-BDD8-964B7FA006C5}">
      <formula1>rngPueblo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4819D-491A-4889-AFD0-29A83DF0EC6F}">
  <dimension ref="A1:I28"/>
  <sheetViews>
    <sheetView workbookViewId="0">
      <selection activeCell="G22" sqref="G22"/>
    </sheetView>
  </sheetViews>
  <sheetFormatPr defaultRowHeight="15" x14ac:dyDescent="0.25"/>
  <cols>
    <col min="1" max="1" width="13.42578125" customWidth="1"/>
    <col min="2" max="2" width="15.5703125" bestFit="1" customWidth="1"/>
    <col min="3" max="3" width="12.28515625" customWidth="1"/>
    <col min="4" max="4" width="11.85546875" customWidth="1"/>
    <col min="5" max="5" width="15.7109375" customWidth="1"/>
    <col min="6" max="6" width="10.7109375" customWidth="1"/>
    <col min="7" max="8" width="12.42578125" customWidth="1"/>
    <col min="9" max="9" width="23" customWidth="1"/>
  </cols>
  <sheetData>
    <row r="1" spans="1:9" x14ac:dyDescent="0.25">
      <c r="A1" t="s">
        <v>6</v>
      </c>
    </row>
    <row r="2" spans="1:9" x14ac:dyDescent="0.25">
      <c r="A2" t="s">
        <v>15</v>
      </c>
    </row>
    <row r="4" spans="1:9" x14ac:dyDescent="0.25">
      <c r="A4" s="11" t="s">
        <v>22</v>
      </c>
      <c r="B4" s="11" t="s">
        <v>19</v>
      </c>
      <c r="C4" t="s">
        <v>135</v>
      </c>
      <c r="D4" t="s">
        <v>136</v>
      </c>
      <c r="E4" t="s">
        <v>137</v>
      </c>
      <c r="F4" t="s">
        <v>195</v>
      </c>
      <c r="G4" t="s">
        <v>196</v>
      </c>
      <c r="H4" t="s">
        <v>233</v>
      </c>
      <c r="I4" t="s">
        <v>201</v>
      </c>
    </row>
    <row r="5" spans="1:9" x14ac:dyDescent="0.25">
      <c r="A5" s="9">
        <f>ROW(A4)</f>
        <v>4</v>
      </c>
      <c r="B5" s="9" t="s">
        <v>21</v>
      </c>
      <c r="C5">
        <f>SUMIF(tVentas[Cliente],B5,tVentas[Cantidad])</f>
        <v>91</v>
      </c>
      <c r="D5">
        <f>SUMIFS(tVentas[Cantidad],tVentas[Cliente],B5,tVentas[Terminado],"Sí")</f>
        <v>68</v>
      </c>
      <c r="E5">
        <f>SUMIFS(tVentas[Cantidad],tVentas[Cliente],B5,tVentas[Entregado],"Sí")</f>
        <v>68</v>
      </c>
      <c r="F5">
        <f>SUMIFS(tVentas[Cantidad],tVentas[Cliente],B5,tVentas[Precio],0)</f>
        <v>7</v>
      </c>
      <c r="G5">
        <f>SUMIFS(tVentas[Cantidad],tVentas[Cliente],B5,tVentas[Pagó],"Sí")</f>
        <v>52</v>
      </c>
      <c r="H5">
        <f>SUMIFS(tVentas[Cantidad],tVentas[Cliente],B5,tVentas[Entregado],"No")</f>
        <v>23</v>
      </c>
      <c r="I5" s="5">
        <f>SUMIFS(tVentas[Cantidad],tVentas[Cliente],B5,tVentas[Color],$A$2)</f>
        <v>1</v>
      </c>
    </row>
    <row r="6" spans="1:9" x14ac:dyDescent="0.25">
      <c r="A6" s="10">
        <f t="shared" ref="A6:A22" si="0">ROW(A5)</f>
        <v>5</v>
      </c>
      <c r="B6" s="10" t="s">
        <v>23</v>
      </c>
      <c r="C6">
        <f>SUMIF(tVentas[Cliente],B6,tVentas[Cantidad])</f>
        <v>30</v>
      </c>
      <c r="D6">
        <f>SUMIFS(tVentas[Cantidad],tVentas[Cliente],B6,tVentas[Terminado],"Sí")</f>
        <v>30</v>
      </c>
      <c r="E6">
        <f>SUMIFS(tVentas[Cantidad],tVentas[Cliente],B6,tVentas[Entregado],"Sí")</f>
        <v>30</v>
      </c>
      <c r="F6">
        <f>SUMIFS(tVentas[Cantidad],tVentas[Cliente],B6,tVentas[Precio],0)</f>
        <v>2</v>
      </c>
      <c r="G6">
        <f>SUMIFS(tVentas[Cantidad],tVentas[Cliente],B6,tVentas[Pagó],"Sí")</f>
        <v>30</v>
      </c>
      <c r="H6">
        <f>SUMIFS(tVentas[Cantidad],tVentas[Cliente],B6,tVentas[Entregado],"No")</f>
        <v>0</v>
      </c>
      <c r="I6" s="5">
        <f>SUMIFS(tVentas[Cantidad],tVentas[Cliente],B6,tVentas[Color],$A$2)</f>
        <v>7</v>
      </c>
    </row>
    <row r="7" spans="1:9" x14ac:dyDescent="0.25">
      <c r="A7" s="9">
        <f t="shared" si="0"/>
        <v>6</v>
      </c>
      <c r="B7" s="9" t="s">
        <v>24</v>
      </c>
      <c r="C7">
        <f>SUMIF(tVentas[Cliente],B7,tVentas[Cantidad])</f>
        <v>4</v>
      </c>
      <c r="D7">
        <f>SUMIFS(tVentas[Cantidad],tVentas[Cliente],B7,tVentas[Terminado],"Sí")</f>
        <v>4</v>
      </c>
      <c r="E7">
        <f>SUMIFS(tVentas[Cantidad],tVentas[Cliente],B7,tVentas[Entregado],"Sí")</f>
        <v>4</v>
      </c>
      <c r="F7">
        <f>SUMIFS(tVentas[Cantidad],tVentas[Cliente],B7,tVentas[Precio],0)</f>
        <v>0</v>
      </c>
      <c r="G7">
        <f>SUMIFS(tVentas[Cantidad],tVentas[Cliente],B7,tVentas[Pagó],"Sí")</f>
        <v>4</v>
      </c>
      <c r="H7">
        <f>SUMIFS(tVentas[Cantidad],tVentas[Cliente],B7,tVentas[Entregado],"No")</f>
        <v>0</v>
      </c>
      <c r="I7" s="5">
        <f>SUMIFS(tVentas[Cantidad],tVentas[Cliente],B7,tVentas[Color],$A$2)</f>
        <v>0</v>
      </c>
    </row>
    <row r="8" spans="1:9" x14ac:dyDescent="0.25">
      <c r="A8" s="10">
        <f t="shared" si="0"/>
        <v>7</v>
      </c>
      <c r="B8" s="10" t="s">
        <v>40</v>
      </c>
      <c r="C8">
        <f>SUMIF(tVentas[Cliente],B8,tVentas[Cantidad])</f>
        <v>14</v>
      </c>
      <c r="D8">
        <f>SUMIFS(tVentas[Cantidad],tVentas[Cliente],B8,tVentas[Terminado],"Sí")</f>
        <v>14</v>
      </c>
      <c r="E8">
        <f>SUMIFS(tVentas[Cantidad],tVentas[Cliente],B8,tVentas[Entregado],"Sí")</f>
        <v>14</v>
      </c>
      <c r="F8">
        <f>SUMIFS(tVentas[Cantidad],tVentas[Cliente],B8,tVentas[Precio],0)</f>
        <v>2</v>
      </c>
      <c r="G8">
        <f>SUMIFS(tVentas[Cantidad],tVentas[Cliente],B8,tVentas[Pagó],"Sí")</f>
        <v>5</v>
      </c>
      <c r="H8">
        <f>SUMIFS(tVentas[Cantidad],tVentas[Cliente],B8,tVentas[Entregado],"No")</f>
        <v>0</v>
      </c>
      <c r="I8" s="5">
        <f>SUMIFS(tVentas[Cantidad],tVentas[Cliente],B8,tVentas[Color],$A$2)</f>
        <v>1</v>
      </c>
    </row>
    <row r="9" spans="1:9" x14ac:dyDescent="0.25">
      <c r="A9" s="9">
        <f t="shared" si="0"/>
        <v>8</v>
      </c>
      <c r="B9" s="9" t="s">
        <v>41</v>
      </c>
      <c r="C9">
        <f>SUMIF(tVentas[Cliente],B9,tVentas[Cantidad])</f>
        <v>0</v>
      </c>
      <c r="D9">
        <f>SUMIFS(tVentas[Cantidad],tVentas[Cliente],B9,tVentas[Terminado],"Sí")</f>
        <v>0</v>
      </c>
      <c r="E9">
        <f>SUMIFS(tVentas[Cantidad],tVentas[Cliente],B9,tVentas[Entregado],"Sí")</f>
        <v>0</v>
      </c>
      <c r="F9">
        <f>SUMIFS(tVentas[Cantidad],tVentas[Cliente],B9,tVentas[Precio],0)</f>
        <v>0</v>
      </c>
      <c r="G9">
        <f>SUMIFS(tVentas[Cantidad],tVentas[Cliente],B9,tVentas[Pagó],"Sí")</f>
        <v>0</v>
      </c>
      <c r="H9">
        <f>SUMIFS(tVentas[Cantidad],tVentas[Cliente],B9,tVentas[Entregado],"No")</f>
        <v>0</v>
      </c>
      <c r="I9" s="5">
        <f>SUMIFS(tVentas[Cantidad],tVentas[Cliente],B9,tVentas[Color],$A$2)</f>
        <v>0</v>
      </c>
    </row>
    <row r="10" spans="1:9" x14ac:dyDescent="0.25">
      <c r="A10" s="10">
        <f t="shared" si="0"/>
        <v>9</v>
      </c>
      <c r="B10" s="10" t="s">
        <v>42</v>
      </c>
      <c r="C10">
        <f>SUMIF(tVentas[Cliente],B10,tVentas[Cantidad])</f>
        <v>0</v>
      </c>
      <c r="D10">
        <f>SUMIFS(tVentas[Cantidad],tVentas[Cliente],B10,tVentas[Terminado],"Sí")</f>
        <v>0</v>
      </c>
      <c r="E10">
        <f>SUMIFS(tVentas[Cantidad],tVentas[Cliente],B10,tVentas[Entregado],"Sí")</f>
        <v>0</v>
      </c>
      <c r="F10">
        <f>SUMIFS(tVentas[Cantidad],tVentas[Cliente],B10,tVentas[Precio],0)</f>
        <v>0</v>
      </c>
      <c r="G10">
        <f>SUMIFS(tVentas[Cantidad],tVentas[Cliente],B10,tVentas[Pagó],"Sí")</f>
        <v>0</v>
      </c>
      <c r="H10">
        <f>SUMIFS(tVentas[Cantidad],tVentas[Cliente],B10,tVentas[Entregado],"No")</f>
        <v>0</v>
      </c>
      <c r="I10" s="5">
        <f>SUMIFS(tVentas[Cantidad],tVentas[Cliente],B10,tVentas[Color],$A$2)</f>
        <v>0</v>
      </c>
    </row>
    <row r="11" spans="1:9" x14ac:dyDescent="0.25">
      <c r="A11" s="9">
        <f t="shared" si="0"/>
        <v>10</v>
      </c>
      <c r="B11" s="9" t="s">
        <v>150</v>
      </c>
      <c r="C11">
        <f>SUMIF(tVentas[Cliente],B11,tVentas[Cantidad])</f>
        <v>0</v>
      </c>
      <c r="D11">
        <f>SUMIFS(tVentas[Cantidad],tVentas[Cliente],B11,tVentas[Terminado],"Sí")</f>
        <v>0</v>
      </c>
      <c r="E11">
        <f>SUMIFS(tVentas[Cantidad],tVentas[Cliente],B11,tVentas[Entregado],"Sí")</f>
        <v>0</v>
      </c>
      <c r="F11">
        <f>SUMIFS(tVentas[Cantidad],tVentas[Cliente],B11,tVentas[Precio],0)</f>
        <v>0</v>
      </c>
      <c r="G11">
        <f>SUMIFS(tVentas[Cantidad],tVentas[Cliente],B11,tVentas[Pagó],"Sí")</f>
        <v>0</v>
      </c>
      <c r="H11">
        <f>SUMIFS(tVentas[Cantidad],tVentas[Cliente],B11,tVentas[Entregado],"No")</f>
        <v>0</v>
      </c>
      <c r="I11" s="5">
        <f>SUMIFS(tVentas[Cantidad],tVentas[Cliente],B11,tVentas[Color],$A$2)</f>
        <v>0</v>
      </c>
    </row>
    <row r="12" spans="1:9" x14ac:dyDescent="0.25">
      <c r="A12" s="10">
        <f t="shared" si="0"/>
        <v>11</v>
      </c>
      <c r="B12" s="10" t="s">
        <v>43</v>
      </c>
      <c r="C12">
        <f>SUMIF(tVentas[Cliente],B12,tVentas[Cantidad])</f>
        <v>2</v>
      </c>
      <c r="D12">
        <f>SUMIFS(tVentas[Cantidad],tVentas[Cliente],B12,tVentas[Terminado],"Sí")</f>
        <v>2</v>
      </c>
      <c r="E12">
        <f>SUMIFS(tVentas[Cantidad],tVentas[Cliente],B12,tVentas[Entregado],"Sí")</f>
        <v>2</v>
      </c>
      <c r="F12">
        <f>SUMIFS(tVentas[Cantidad],tVentas[Cliente],B12,tVentas[Precio],0)</f>
        <v>2</v>
      </c>
      <c r="G12">
        <f>SUMIFS(tVentas[Cantidad],tVentas[Cliente],B12,tVentas[Pagó],"Sí")</f>
        <v>2</v>
      </c>
      <c r="H12">
        <f>SUMIFS(tVentas[Cantidad],tVentas[Cliente],B12,tVentas[Entregado],"No")</f>
        <v>0</v>
      </c>
      <c r="I12" s="5">
        <f>SUMIFS(tVentas[Cantidad],tVentas[Cliente],B12,tVentas[Color],$A$2)</f>
        <v>0</v>
      </c>
    </row>
    <row r="13" spans="1:9" x14ac:dyDescent="0.25">
      <c r="A13" s="9">
        <f t="shared" si="0"/>
        <v>12</v>
      </c>
      <c r="B13" s="9" t="s">
        <v>44</v>
      </c>
      <c r="C13">
        <f>SUMIF(tVentas[Cliente],B13,tVentas[Cantidad])</f>
        <v>12</v>
      </c>
      <c r="D13">
        <f>SUMIFS(tVentas[Cantidad],tVentas[Cliente],B13,tVentas[Terminado],"Sí")</f>
        <v>12</v>
      </c>
      <c r="E13">
        <f>SUMIFS(tVentas[Cantidad],tVentas[Cliente],B13,tVentas[Entregado],"Sí")</f>
        <v>12</v>
      </c>
      <c r="F13">
        <f>SUMIFS(tVentas[Cantidad],tVentas[Cliente],B13,tVentas[Precio],0)</f>
        <v>3</v>
      </c>
      <c r="G13">
        <f>SUMIFS(tVentas[Cantidad],tVentas[Cliente],B13,tVentas[Pagó],"Sí")</f>
        <v>12</v>
      </c>
      <c r="H13">
        <f>SUMIFS(tVentas[Cantidad],tVentas[Cliente],B13,tVentas[Entregado],"No")</f>
        <v>0</v>
      </c>
      <c r="I13" s="5">
        <f>SUMIFS(tVentas[Cantidad],tVentas[Cliente],B13,tVentas[Color],$A$2)</f>
        <v>0</v>
      </c>
    </row>
    <row r="14" spans="1:9" x14ac:dyDescent="0.25">
      <c r="A14" s="10">
        <f t="shared" si="0"/>
        <v>13</v>
      </c>
      <c r="B14" s="10" t="s">
        <v>45</v>
      </c>
      <c r="C14">
        <f>SUMIF(tVentas[Cliente],B14,tVentas[Cantidad])</f>
        <v>1</v>
      </c>
      <c r="D14">
        <f>SUMIFS(tVentas[Cantidad],tVentas[Cliente],B14,tVentas[Terminado],"Sí")</f>
        <v>1</v>
      </c>
      <c r="E14">
        <f>SUMIFS(tVentas[Cantidad],tVentas[Cliente],B14,tVentas[Entregado],"Sí")</f>
        <v>1</v>
      </c>
      <c r="F14">
        <f>SUMIFS(tVentas[Cantidad],tVentas[Cliente],B14,tVentas[Precio],0)</f>
        <v>1</v>
      </c>
      <c r="G14">
        <f>SUMIFS(tVentas[Cantidad],tVentas[Cliente],B14,tVentas[Pagó],"Sí")</f>
        <v>1</v>
      </c>
      <c r="H14">
        <f>SUMIFS(tVentas[Cantidad],tVentas[Cliente],B14,tVentas[Entregado],"No")</f>
        <v>0</v>
      </c>
      <c r="I14" s="5">
        <f>SUMIFS(tVentas[Cantidad],tVentas[Cliente],B14,tVentas[Color],$A$2)</f>
        <v>0</v>
      </c>
    </row>
    <row r="15" spans="1:9" x14ac:dyDescent="0.25">
      <c r="A15" s="9">
        <f t="shared" si="0"/>
        <v>14</v>
      </c>
      <c r="B15" s="9" t="s">
        <v>46</v>
      </c>
      <c r="C15">
        <f>SUMIF(tVentas[Cliente],B15,tVentas[Cantidad])</f>
        <v>0</v>
      </c>
      <c r="D15">
        <f>SUMIFS(tVentas[Cantidad],tVentas[Cliente],B15,tVentas[Terminado],"Sí")</f>
        <v>0</v>
      </c>
      <c r="E15">
        <f>SUMIFS(tVentas[Cantidad],tVentas[Cliente],B15,tVentas[Entregado],"Sí")</f>
        <v>0</v>
      </c>
      <c r="F15">
        <f>SUMIFS(tVentas[Cantidad],tVentas[Cliente],B15,tVentas[Precio],0)</f>
        <v>0</v>
      </c>
      <c r="G15">
        <f>SUMIFS(tVentas[Cantidad],tVentas[Cliente],B15,tVentas[Pagó],"Sí")</f>
        <v>0</v>
      </c>
      <c r="H15">
        <f>SUMIFS(tVentas[Cantidad],tVentas[Cliente],B15,tVentas[Entregado],"No")</f>
        <v>0</v>
      </c>
      <c r="I15" s="5">
        <f>SUMIFS(tVentas[Cantidad],tVentas[Cliente],B15,tVentas[Color],$A$2)</f>
        <v>0</v>
      </c>
    </row>
    <row r="16" spans="1:9" x14ac:dyDescent="0.25">
      <c r="A16" s="10">
        <f t="shared" si="0"/>
        <v>15</v>
      </c>
      <c r="B16" s="10" t="s">
        <v>47</v>
      </c>
      <c r="C16">
        <f>SUMIF(tVentas[Cliente],B16,tVentas[Cantidad])</f>
        <v>1</v>
      </c>
      <c r="D16">
        <f>SUMIFS(tVentas[Cantidad],tVentas[Cliente],B16,tVentas[Terminado],"Sí")</f>
        <v>1</v>
      </c>
      <c r="E16">
        <f>SUMIFS(tVentas[Cantidad],tVentas[Cliente],B16,tVentas[Entregado],"Sí")</f>
        <v>1</v>
      </c>
      <c r="F16">
        <f>SUMIFS(tVentas[Cantidad],tVentas[Cliente],B16,tVentas[Precio],0)</f>
        <v>1</v>
      </c>
      <c r="G16">
        <f>SUMIFS(tVentas[Cantidad],tVentas[Cliente],B16,tVentas[Pagó],"Sí")</f>
        <v>1</v>
      </c>
      <c r="H16">
        <f>SUMIFS(tVentas[Cantidad],tVentas[Cliente],B16,tVentas[Entregado],"No")</f>
        <v>0</v>
      </c>
      <c r="I16" s="5">
        <f>SUMIFS(tVentas[Cantidad],tVentas[Cliente],B16,tVentas[Color],$A$2)</f>
        <v>0</v>
      </c>
    </row>
    <row r="17" spans="1:9" x14ac:dyDescent="0.25">
      <c r="A17" s="9">
        <f t="shared" si="0"/>
        <v>16</v>
      </c>
      <c r="B17" s="9" t="s">
        <v>140</v>
      </c>
      <c r="C17">
        <f>SUMIF(tVentas[Cliente],B17,tVentas[Cantidad])</f>
        <v>0</v>
      </c>
      <c r="D17">
        <f>SUMIFS(tVentas[Cantidad],tVentas[Cliente],B17,tVentas[Terminado],"Sí")</f>
        <v>0</v>
      </c>
      <c r="E17">
        <f>SUMIFS(tVentas[Cantidad],tVentas[Cliente],B17,tVentas[Entregado],"Sí")</f>
        <v>0</v>
      </c>
      <c r="F17">
        <f>SUMIFS(tVentas[Cantidad],tVentas[Cliente],B17,tVentas[Precio],0)</f>
        <v>0</v>
      </c>
      <c r="G17">
        <f>SUMIFS(tVentas[Cantidad],tVentas[Cliente],B17,tVentas[Pagó],"Sí")</f>
        <v>0</v>
      </c>
      <c r="H17">
        <f>SUMIFS(tVentas[Cantidad],tVentas[Cliente],B17,tVentas[Entregado],"No")</f>
        <v>0</v>
      </c>
      <c r="I17" s="5">
        <f>SUMIFS(tVentas[Cantidad],tVentas[Cliente],B17,tVentas[Color],$A$2)</f>
        <v>0</v>
      </c>
    </row>
    <row r="18" spans="1:9" x14ac:dyDescent="0.25">
      <c r="A18" s="10">
        <f t="shared" si="0"/>
        <v>17</v>
      </c>
      <c r="B18" s="10" t="s">
        <v>141</v>
      </c>
      <c r="C18">
        <f>SUMIF(tVentas[Cliente],B18,tVentas[Cantidad])</f>
        <v>0</v>
      </c>
      <c r="D18">
        <f>SUMIFS(tVentas[Cantidad],tVentas[Cliente],B18,tVentas[Terminado],"Sí")</f>
        <v>0</v>
      </c>
      <c r="E18">
        <f>SUMIFS(tVentas[Cantidad],tVentas[Cliente],B18,tVentas[Entregado],"Sí")</f>
        <v>0</v>
      </c>
      <c r="F18">
        <f>SUMIFS(tVentas[Cantidad],tVentas[Cliente],B18,tVentas[Precio],0)</f>
        <v>0</v>
      </c>
      <c r="G18">
        <f>SUMIFS(tVentas[Cantidad],tVentas[Cliente],B18,tVentas[Pagó],"Sí")</f>
        <v>0</v>
      </c>
      <c r="H18">
        <f>SUMIFS(tVentas[Cantidad],tVentas[Cliente],B18,tVentas[Entregado],"No")</f>
        <v>0</v>
      </c>
      <c r="I18" s="5">
        <f>SUMIFS(tVentas[Cantidad],tVentas[Cliente],B18,tVentas[Color],$A$2)</f>
        <v>0</v>
      </c>
    </row>
    <row r="19" spans="1:9" x14ac:dyDescent="0.25">
      <c r="A19" s="9">
        <f t="shared" si="0"/>
        <v>18</v>
      </c>
      <c r="B19" s="9" t="s">
        <v>148</v>
      </c>
      <c r="C19">
        <f>SUMIF(tVentas[Cliente],B19,tVentas[Cantidad])</f>
        <v>0</v>
      </c>
      <c r="D19">
        <f>SUMIFS(tVentas[Cantidad],tVentas[Cliente],B19,tVentas[Terminado],"Sí")</f>
        <v>0</v>
      </c>
      <c r="E19">
        <f>SUMIFS(tVentas[Cantidad],tVentas[Cliente],B19,tVentas[Entregado],"Sí")</f>
        <v>0</v>
      </c>
      <c r="F19">
        <f>SUMIFS(tVentas[Cantidad],tVentas[Cliente],B19,tVentas[Precio],0)</f>
        <v>0</v>
      </c>
      <c r="G19">
        <f>SUMIFS(tVentas[Cantidad],tVentas[Cliente],B19,tVentas[Pagó],"Sí")</f>
        <v>0</v>
      </c>
      <c r="H19">
        <f>SUMIFS(tVentas[Cantidad],tVentas[Cliente],B19,tVentas[Entregado],"No")</f>
        <v>0</v>
      </c>
      <c r="I19" s="5">
        <f>SUMIFS(tVentas[Cantidad],tVentas[Cliente],B19,tVentas[Color],$A$2)</f>
        <v>0</v>
      </c>
    </row>
    <row r="20" spans="1:9" x14ac:dyDescent="0.25">
      <c r="A20" s="10">
        <f t="shared" si="0"/>
        <v>19</v>
      </c>
      <c r="B20" s="10" t="s">
        <v>149</v>
      </c>
      <c r="C20">
        <f>SUMIF(tVentas[Cliente],B20,tVentas[Cantidad])</f>
        <v>0</v>
      </c>
      <c r="D20">
        <f>SUMIFS(tVentas[Cantidad],tVentas[Cliente],B20,tVentas[Terminado],"Sí")</f>
        <v>0</v>
      </c>
      <c r="E20">
        <f>SUMIFS(tVentas[Cantidad],tVentas[Cliente],B20,tVentas[Entregado],"Sí")</f>
        <v>0</v>
      </c>
      <c r="F20">
        <f>SUMIFS(tVentas[Cantidad],tVentas[Cliente],B20,tVentas[Precio],0)</f>
        <v>0</v>
      </c>
      <c r="G20">
        <f>SUMIFS(tVentas[Cantidad],tVentas[Cliente],B20,tVentas[Pagó],"Sí")</f>
        <v>0</v>
      </c>
      <c r="H20">
        <f>SUMIFS(tVentas[Cantidad],tVentas[Cliente],B20,tVentas[Entregado],"No")</f>
        <v>0</v>
      </c>
      <c r="I20" s="5">
        <f>SUMIFS(tVentas[Cantidad],tVentas[Cliente],B20,tVentas[Color],$A$2)</f>
        <v>0</v>
      </c>
    </row>
    <row r="21" spans="1:9" x14ac:dyDescent="0.25">
      <c r="A21" s="9">
        <f t="shared" si="0"/>
        <v>20</v>
      </c>
      <c r="B21" s="9" t="s">
        <v>151</v>
      </c>
      <c r="C21">
        <f>SUMIF(tVentas[Cliente],B21,tVentas[Cantidad])</f>
        <v>3</v>
      </c>
      <c r="D21">
        <f>SUMIFS(tVentas[Cantidad],tVentas[Cliente],B21,tVentas[Terminado],"Sí")</f>
        <v>1</v>
      </c>
      <c r="E21">
        <f>SUMIFS(tVentas[Cantidad],tVentas[Cliente],B21,tVentas[Entregado],"Sí")</f>
        <v>0</v>
      </c>
      <c r="F21">
        <f>SUMIFS(tVentas[Cantidad],tVentas[Cliente],B21,tVentas[Precio],0)</f>
        <v>3</v>
      </c>
      <c r="G21">
        <f>SUMIFS(tVentas[Cantidad],tVentas[Cliente],B21,tVentas[Pagó],"Sí")</f>
        <v>3</v>
      </c>
      <c r="H21">
        <f>SUMIFS(tVentas[Cantidad],tVentas[Cliente],B21,tVentas[Entregado],"No")</f>
        <v>3</v>
      </c>
      <c r="I21" s="5">
        <f>SUMIFS(tVentas[Cantidad],tVentas[Cliente],B21,tVentas[Color],$A$2)</f>
        <v>0</v>
      </c>
    </row>
    <row r="22" spans="1:9" x14ac:dyDescent="0.25">
      <c r="A22" s="10">
        <f t="shared" si="0"/>
        <v>21</v>
      </c>
      <c r="B22" s="10" t="s">
        <v>153</v>
      </c>
      <c r="C22">
        <f>SUMIF(tVentas[Cliente],B22,tVentas[Cantidad])</f>
        <v>1</v>
      </c>
      <c r="D22">
        <f>SUMIFS(tVentas[Cantidad],tVentas[Cliente],B22,tVentas[Terminado],"Sí")</f>
        <v>0</v>
      </c>
      <c r="E22">
        <f>SUMIFS(tVentas[Cantidad],tVentas[Cliente],B22,tVentas[Entregado],"Sí")</f>
        <v>0</v>
      </c>
      <c r="F22">
        <f>SUMIFS(tVentas[Cantidad],tVentas[Cliente],B22,tVentas[Precio],0)</f>
        <v>1</v>
      </c>
      <c r="G22">
        <f>SUMIFS(tVentas[Cantidad],tVentas[Cliente],B22,tVentas[Pagó],"Sí")</f>
        <v>1</v>
      </c>
      <c r="H22">
        <f>SUMIFS(tVentas[Cantidad],tVentas[Cliente],B22,tVentas[Entregado],"No")</f>
        <v>1</v>
      </c>
      <c r="I22" s="5">
        <f>SUMIFS(tVentas[Cantidad],tVentas[Cliente],B22,tVentas[Color],$A$2)</f>
        <v>0</v>
      </c>
    </row>
    <row r="23" spans="1:9" x14ac:dyDescent="0.25">
      <c r="A23" s="9">
        <f t="shared" ref="A23:A28" si="1">ROW(A22)</f>
        <v>22</v>
      </c>
      <c r="B23" s="9" t="s">
        <v>154</v>
      </c>
      <c r="C23">
        <f>SUMIF(tVentas[Cliente],B23,tVentas[Cantidad])</f>
        <v>1</v>
      </c>
      <c r="D23">
        <f>SUMIFS(tVentas[Cantidad],tVentas[Cliente],B23,tVentas[Terminado],"Sí")</f>
        <v>0</v>
      </c>
      <c r="E23">
        <f>SUMIFS(tVentas[Cantidad],tVentas[Cliente],B23,tVentas[Entregado],"Sí")</f>
        <v>0</v>
      </c>
      <c r="F23">
        <f>SUMIFS(tVentas[Cantidad],tVentas[Cliente],B23,tVentas[Precio],0)</f>
        <v>1</v>
      </c>
      <c r="G23">
        <f>SUMIFS(tVentas[Cantidad],tVentas[Cliente],B23,tVentas[Pagó],"Sí")</f>
        <v>1</v>
      </c>
      <c r="H23">
        <f>SUMIFS(tVentas[Cantidad],tVentas[Cliente],B23,tVentas[Entregado],"No")</f>
        <v>1</v>
      </c>
      <c r="I23" s="5">
        <f>SUMIFS(tVentas[Cantidad],tVentas[Cliente],B23,tVentas[Color],$A$2)</f>
        <v>0</v>
      </c>
    </row>
    <row r="24" spans="1:9" x14ac:dyDescent="0.25">
      <c r="A24" s="10">
        <f t="shared" si="1"/>
        <v>23</v>
      </c>
      <c r="B24" s="10" t="s">
        <v>185</v>
      </c>
      <c r="C24">
        <f>SUMIF(tVentas[Cliente],B24,tVentas[Cantidad])</f>
        <v>5</v>
      </c>
      <c r="D24">
        <f>SUMIFS(tVentas[Cantidad],tVentas[Cliente],B24,tVentas[Terminado],"Sí")</f>
        <v>5</v>
      </c>
      <c r="E24">
        <f>SUMIFS(tVentas[Cantidad],tVentas[Cliente],B24,tVentas[Entregado],"Sí")</f>
        <v>5</v>
      </c>
      <c r="F24">
        <f>SUMIFS(tVentas[Cantidad],tVentas[Cliente],B24,tVentas[Precio],0)</f>
        <v>1</v>
      </c>
      <c r="G24">
        <f>SUMIFS(tVentas[Cantidad],tVentas[Cliente],B24,tVentas[Pagó],"Sí")</f>
        <v>5</v>
      </c>
      <c r="H24">
        <f>SUMIFS(tVentas[Cantidad],tVentas[Cliente],B24,tVentas[Entregado],"No")</f>
        <v>0</v>
      </c>
      <c r="I24" s="5">
        <f>SUMIFS(tVentas[Cantidad],tVentas[Cliente],B24,tVentas[Color],$A$2)</f>
        <v>0</v>
      </c>
    </row>
    <row r="25" spans="1:9" x14ac:dyDescent="0.25">
      <c r="A25" s="9">
        <f t="shared" si="1"/>
        <v>24</v>
      </c>
      <c r="B25" s="9" t="s">
        <v>186</v>
      </c>
      <c r="C25">
        <f>SUMIF(tVentas[Cliente],B25,tVentas[Cantidad])</f>
        <v>0</v>
      </c>
      <c r="D25">
        <f>SUMIFS(tVentas[Cantidad],tVentas[Cliente],B25,tVentas[Terminado],"Sí")</f>
        <v>0</v>
      </c>
      <c r="E25">
        <f>SUMIFS(tVentas[Cantidad],tVentas[Cliente],B25,tVentas[Entregado],"Sí")</f>
        <v>0</v>
      </c>
      <c r="F25">
        <f>SUMIFS(tVentas[Cantidad],tVentas[Cliente],B25,tVentas[Precio],0)</f>
        <v>0</v>
      </c>
      <c r="G25">
        <f>SUMIFS(tVentas[Cantidad],tVentas[Cliente],B25,tVentas[Pagó],"Sí")</f>
        <v>0</v>
      </c>
      <c r="H25">
        <f>SUMIFS(tVentas[Cantidad],tVentas[Cliente],B25,tVentas[Entregado],"No")</f>
        <v>0</v>
      </c>
      <c r="I25" s="5">
        <f>SUMIFS(tVentas[Cantidad],tVentas[Cliente],B25,tVentas[Color],$A$2)</f>
        <v>0</v>
      </c>
    </row>
    <row r="26" spans="1:9" x14ac:dyDescent="0.25">
      <c r="A26" s="10">
        <f t="shared" si="1"/>
        <v>25</v>
      </c>
      <c r="B26" s="10" t="s">
        <v>189</v>
      </c>
      <c r="C26">
        <f>SUMIF(tVentas[Cliente],B26,tVentas[Cantidad])</f>
        <v>18</v>
      </c>
      <c r="D26">
        <f>SUMIFS(tVentas[Cantidad],tVentas[Cliente],B26,tVentas[Terminado],"Sí")</f>
        <v>15</v>
      </c>
      <c r="E26">
        <f>SUMIFS(tVentas[Cantidad],tVentas[Cliente],B26,tVentas[Entregado],"Sí")</f>
        <v>15</v>
      </c>
      <c r="F26">
        <f>SUMIFS(tVentas[Cantidad],tVentas[Cliente],B26,tVentas[Precio],0)</f>
        <v>0</v>
      </c>
      <c r="G26">
        <f>SUMIFS(tVentas[Cantidad],tVentas[Cliente],B26,tVentas[Pagó],"Sí")</f>
        <v>15</v>
      </c>
      <c r="H26">
        <f>SUMIFS(tVentas[Cantidad],tVentas[Cliente],B26,tVentas[Entregado],"No")</f>
        <v>3</v>
      </c>
      <c r="I26" s="5">
        <f>SUMIFS(tVentas[Cantidad],tVentas[Cliente],B26,tVentas[Color],$A$2)</f>
        <v>3</v>
      </c>
    </row>
    <row r="27" spans="1:9" x14ac:dyDescent="0.25">
      <c r="A27" s="9">
        <f t="shared" si="1"/>
        <v>26</v>
      </c>
      <c r="B27" s="9" t="s">
        <v>190</v>
      </c>
      <c r="C27">
        <f>SUMIF(tVentas[Cliente],B27,tVentas[Cantidad])</f>
        <v>0</v>
      </c>
      <c r="D27">
        <f>SUMIFS(tVentas[Cantidad],tVentas[Cliente],B27,tVentas[Terminado],"Sí")</f>
        <v>0</v>
      </c>
      <c r="E27">
        <f>SUMIFS(tVentas[Cantidad],tVentas[Cliente],B27,tVentas[Entregado],"Sí")</f>
        <v>0</v>
      </c>
      <c r="F27">
        <f>SUMIFS(tVentas[Cantidad],tVentas[Cliente],B27,tVentas[Precio],0)</f>
        <v>0</v>
      </c>
      <c r="G27">
        <f>SUMIFS(tVentas[Cantidad],tVentas[Cliente],B27,tVentas[Pagó],"Sí")</f>
        <v>0</v>
      </c>
      <c r="H27">
        <f>SUMIFS(tVentas[Cantidad],tVentas[Cliente],B27,tVentas[Entregado],"No")</f>
        <v>0</v>
      </c>
      <c r="I27" s="5">
        <f>SUMIFS(tVentas[Cantidad],tVentas[Cliente],B27,tVentas[Color],$A$2)</f>
        <v>0</v>
      </c>
    </row>
    <row r="28" spans="1:9" x14ac:dyDescent="0.25">
      <c r="A28" s="10">
        <f t="shared" si="1"/>
        <v>27</v>
      </c>
      <c r="B28" s="10" t="s">
        <v>152</v>
      </c>
      <c r="C28">
        <f>SUMIF(tVentas[Cliente],B28,tVentas[Cantidad])</f>
        <v>3</v>
      </c>
      <c r="D28">
        <f>SUMIFS(tVentas[Cantidad],tVentas[Cliente],B28,tVentas[Terminado],"Sí")</f>
        <v>2</v>
      </c>
      <c r="E28">
        <f>SUMIFS(tVentas[Cantidad],tVentas[Cliente],B28,tVentas[Entregado],"Sí")</f>
        <v>2</v>
      </c>
      <c r="F28">
        <f>SUMIFS(tVentas[Cantidad],tVentas[Cliente],B28,tVentas[Precio],0)</f>
        <v>3</v>
      </c>
      <c r="G28">
        <f>SUMIFS(tVentas[Cantidad],tVentas[Cliente],B28,tVentas[Pagó],"Sí")</f>
        <v>3</v>
      </c>
      <c r="H28">
        <f>SUMIFS(tVentas[Cantidad],tVentas[Cliente],B28,tVentas[Entregado],"No")</f>
        <v>1</v>
      </c>
      <c r="I28" s="5">
        <f>SUMIFS(tVentas[Cantidad],tVentas[Cliente],B28,tVentas[Color],$A$2)</f>
        <v>0</v>
      </c>
    </row>
  </sheetData>
  <dataValidations count="1">
    <dataValidation type="list" allowBlank="1" showInputMessage="1" showErrorMessage="1" sqref="A2" xr:uid="{94DFD09F-2F08-4D25-8E02-377A74958F24}">
      <formula1>rngColor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3577C-ED1E-4E84-A859-072AB67B07BB}">
  <dimension ref="A1:C19"/>
  <sheetViews>
    <sheetView workbookViewId="0">
      <selection activeCell="B9" sqref="B9"/>
    </sheetView>
  </sheetViews>
  <sheetFormatPr defaultRowHeight="15" x14ac:dyDescent="0.25"/>
  <cols>
    <col min="1" max="1" width="17.42578125" bestFit="1" customWidth="1"/>
    <col min="2" max="2" width="31.28515625" customWidth="1"/>
    <col min="3" max="3" width="28.7109375" customWidth="1"/>
  </cols>
  <sheetData>
    <row r="1" spans="1:3" x14ac:dyDescent="0.25">
      <c r="C1" t="s">
        <v>27</v>
      </c>
    </row>
    <row r="2" spans="1:3" x14ac:dyDescent="0.25">
      <c r="C2" t="s">
        <v>21</v>
      </c>
    </row>
    <row r="4" spans="1:3" x14ac:dyDescent="0.25">
      <c r="A4" s="12" t="s">
        <v>6</v>
      </c>
      <c r="B4" s="12" t="s">
        <v>199</v>
      </c>
      <c r="C4" s="12" t="s">
        <v>200</v>
      </c>
    </row>
    <row r="5" spans="1:3" x14ac:dyDescent="0.25">
      <c r="A5" s="9" t="s">
        <v>16</v>
      </c>
      <c r="B5" s="15">
        <f>SUMIFS(tVentas[Cantidad],tVentas[Color],A5)</f>
        <v>21</v>
      </c>
      <c r="C5" s="14">
        <f>SUMIFS(tVentas[Cantidad],tVentas[Cliente],$C$2,tVentas[Color],A5)</f>
        <v>11</v>
      </c>
    </row>
    <row r="6" spans="1:3" x14ac:dyDescent="0.25">
      <c r="A6" s="10" t="s">
        <v>7</v>
      </c>
      <c r="B6" s="15">
        <f>SUMIFS(tVentas[Cantidad],tVentas[Color],A6)</f>
        <v>10</v>
      </c>
      <c r="C6" s="9">
        <f>SUMIFS(tVentas[Cantidad],tVentas[Cliente],$C$2,tVentas[Color],A6)</f>
        <v>7</v>
      </c>
    </row>
    <row r="7" spans="1:3" x14ac:dyDescent="0.25">
      <c r="A7" s="9" t="s">
        <v>17</v>
      </c>
      <c r="B7" s="15">
        <f>SUMIFS(tVentas[Cantidad],tVentas[Color],A7)</f>
        <v>7</v>
      </c>
      <c r="C7" s="9">
        <f>SUMIFS(tVentas[Cantidad],tVentas[Cliente],$C$2,tVentas[Color],A7)</f>
        <v>6</v>
      </c>
    </row>
    <row r="8" spans="1:3" x14ac:dyDescent="0.25">
      <c r="A8" s="10" t="s">
        <v>8</v>
      </c>
      <c r="B8" s="15">
        <f>SUMIFS(tVentas[Cantidad],tVentas[Color],A8)</f>
        <v>8</v>
      </c>
      <c r="C8" s="9">
        <f>SUMIFS(tVentas[Cantidad],tVentas[Cliente],$C$2,tVentas[Color],A8)</f>
        <v>3</v>
      </c>
    </row>
    <row r="9" spans="1:3" x14ac:dyDescent="0.25">
      <c r="A9" s="9" t="s">
        <v>9</v>
      </c>
      <c r="B9" s="15">
        <f>SUMIFS(tVentas[Cantidad],tVentas[Color],A9)</f>
        <v>88</v>
      </c>
      <c r="C9" s="9">
        <f>SUMIFS(tVentas[Cantidad],tVentas[Cliente],$C$2,tVentas[Color],A9)</f>
        <v>30</v>
      </c>
    </row>
    <row r="10" spans="1:3" x14ac:dyDescent="0.25">
      <c r="A10" s="10" t="s">
        <v>15</v>
      </c>
      <c r="B10" s="15">
        <f>SUMIFS(tVentas[Cantidad],tVentas[Color],A10)</f>
        <v>12</v>
      </c>
      <c r="C10" s="9">
        <f>SUMIFS(tVentas[Cantidad],tVentas[Cliente],$C$2,tVentas[Color],A10)</f>
        <v>1</v>
      </c>
    </row>
    <row r="11" spans="1:3" x14ac:dyDescent="0.25">
      <c r="A11" s="9" t="s">
        <v>10</v>
      </c>
      <c r="B11" s="15">
        <f>SUMIFS(tVentas[Cantidad],tVentas[Color],A11)</f>
        <v>14</v>
      </c>
      <c r="C11" s="9">
        <f>SUMIFS(tVentas[Cantidad],tVentas[Cliente],$C$2,tVentas[Color],A11)</f>
        <v>9</v>
      </c>
    </row>
    <row r="12" spans="1:3" x14ac:dyDescent="0.25">
      <c r="A12" s="10" t="s">
        <v>11</v>
      </c>
      <c r="B12" s="15">
        <f>SUMIFS(tVentas[Cantidad],tVentas[Color],A12)</f>
        <v>4</v>
      </c>
      <c r="C12" s="9">
        <f>SUMIFS(tVentas[Cantidad],tVentas[Cliente],$C$2,tVentas[Color],A12)</f>
        <v>4</v>
      </c>
    </row>
    <row r="13" spans="1:3" x14ac:dyDescent="0.25">
      <c r="A13" s="9" t="s">
        <v>12</v>
      </c>
      <c r="B13" s="15">
        <f>SUMIFS(tVentas[Cantidad],tVentas[Color],A13)</f>
        <v>0</v>
      </c>
      <c r="C13" s="9">
        <f>SUMIFS(tVentas[Cantidad],tVentas[Cliente],$C$2,tVentas[Color],A13)</f>
        <v>0</v>
      </c>
    </row>
    <row r="14" spans="1:3" x14ac:dyDescent="0.25">
      <c r="A14" s="10" t="s">
        <v>13</v>
      </c>
      <c r="B14" s="15">
        <f>SUMIFS(tVentas[Cantidad],tVentas[Color],A14)</f>
        <v>0</v>
      </c>
      <c r="C14" s="9">
        <f>SUMIFS(tVentas[Cantidad],tVentas[Cliente],$C$2,tVentas[Color],A14)</f>
        <v>0</v>
      </c>
    </row>
    <row r="15" spans="1:3" x14ac:dyDescent="0.25">
      <c r="A15" s="9" t="s">
        <v>14</v>
      </c>
      <c r="B15" s="15">
        <f>SUMIFS(tVentas[Cantidad],tVentas[Color],A15)</f>
        <v>4</v>
      </c>
      <c r="C15" s="9">
        <f>SUMIFS(tVentas[Cantidad],tVentas[Cliente],$C$2,tVentas[Color],A15)</f>
        <v>3</v>
      </c>
    </row>
    <row r="16" spans="1:3" x14ac:dyDescent="0.25">
      <c r="A16" s="10" t="s">
        <v>18</v>
      </c>
      <c r="B16" s="15">
        <f>SUMIFS(tVentas[Cantidad],tVentas[Color],A16)</f>
        <v>3</v>
      </c>
      <c r="C16" s="9">
        <f>SUMIFS(tVentas[Cantidad],tVentas[Cliente],$C$2,tVentas[Color],A16)</f>
        <v>2</v>
      </c>
    </row>
    <row r="17" spans="1:3" x14ac:dyDescent="0.25">
      <c r="A17" s="9" t="s">
        <v>133</v>
      </c>
      <c r="B17" s="15">
        <f>SUMIFS(tVentas[Cantidad],tVentas[Color],A17)</f>
        <v>4</v>
      </c>
      <c r="C17" s="9">
        <f>SUMIFS(tVentas[Cantidad],tVentas[Cliente],$C$2,tVentas[Color],A17)</f>
        <v>1</v>
      </c>
    </row>
    <row r="18" spans="1:3" x14ac:dyDescent="0.25">
      <c r="A18" s="10" t="s">
        <v>134</v>
      </c>
      <c r="B18" s="15">
        <f>SUMIFS(tVentas[Cantidad],tVentas[Color],A18)</f>
        <v>0</v>
      </c>
      <c r="C18" s="9">
        <f>SUMIFS(tVentas[Cantidad],tVentas[Cliente],$C$2,tVentas[Color],A18)</f>
        <v>0</v>
      </c>
    </row>
    <row r="19" spans="1:3" x14ac:dyDescent="0.25">
      <c r="A19" s="13" t="s">
        <v>191</v>
      </c>
      <c r="B19" s="15">
        <f>SUMIFS(tVentas[Cantidad],tVentas[Color],A19)</f>
        <v>4</v>
      </c>
      <c r="C19" s="13">
        <f>SUMIFS(tVentas[Cantidad],tVentas[Cliente],$C$2,tVentas[Color],A19)</f>
        <v>3</v>
      </c>
    </row>
  </sheetData>
  <dataValidations count="1">
    <dataValidation type="list" allowBlank="1" showInputMessage="1" showErrorMessage="1" sqref="B2:C2" xr:uid="{3093B045-42C4-4F06-BB3C-870978D0791C}">
      <formula1>rngNameClient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7D642-7C6F-44CB-9AFE-4F54E950ADD5}">
  <dimension ref="A1:R57"/>
  <sheetViews>
    <sheetView topLeftCell="C24" workbookViewId="0">
      <selection activeCell="P12" sqref="P12"/>
    </sheetView>
  </sheetViews>
  <sheetFormatPr defaultRowHeight="15" x14ac:dyDescent="0.25"/>
  <cols>
    <col min="1" max="1" width="43.5703125" bestFit="1" customWidth="1"/>
    <col min="2" max="3" width="18.42578125" customWidth="1"/>
    <col min="4" max="4" width="11.42578125" customWidth="1"/>
    <col min="7" max="7" width="9.140625" style="2"/>
    <col min="8" max="8" width="9.7109375" bestFit="1" customWidth="1"/>
    <col min="9" max="9" width="17.5703125" customWidth="1"/>
    <col min="12" max="12" width="18.5703125" customWidth="1"/>
    <col min="13" max="13" width="2.85546875" customWidth="1"/>
    <col min="14" max="14" width="15.5703125" customWidth="1"/>
    <col min="15" max="15" width="2.85546875" customWidth="1"/>
    <col min="16" max="16" width="21.85546875" customWidth="1"/>
    <col min="17" max="17" width="2.85546875" customWidth="1"/>
    <col min="18" max="18" width="10.7109375" bestFit="1" customWidth="1"/>
  </cols>
  <sheetData>
    <row r="1" spans="1:18" x14ac:dyDescent="0.25">
      <c r="A1" t="s">
        <v>295</v>
      </c>
      <c r="B1" t="s">
        <v>0</v>
      </c>
      <c r="C1" t="s">
        <v>6</v>
      </c>
      <c r="D1" t="s">
        <v>29</v>
      </c>
      <c r="E1" t="s">
        <v>294</v>
      </c>
      <c r="F1" t="s">
        <v>183</v>
      </c>
      <c r="G1" s="2" t="s">
        <v>28</v>
      </c>
      <c r="H1" t="s">
        <v>30</v>
      </c>
      <c r="I1" t="s">
        <v>205</v>
      </c>
    </row>
    <row r="2" spans="1:18" ht="15.75" x14ac:dyDescent="0.25">
      <c r="A2" t="s">
        <v>166</v>
      </c>
      <c r="B2" t="s">
        <v>296</v>
      </c>
      <c r="C2" t="s">
        <v>299</v>
      </c>
      <c r="D2">
        <v>2</v>
      </c>
      <c r="E2" t="s">
        <v>167</v>
      </c>
      <c r="F2">
        <v>3</v>
      </c>
      <c r="G2" s="2">
        <v>0.8</v>
      </c>
      <c r="H2" s="7">
        <v>43957</v>
      </c>
      <c r="I2" t="s">
        <v>206</v>
      </c>
      <c r="L2" s="16" t="s">
        <v>184</v>
      </c>
      <c r="N2" s="16" t="s">
        <v>227</v>
      </c>
      <c r="P2" s="16" t="s">
        <v>228</v>
      </c>
      <c r="R2" s="16" t="s">
        <v>229</v>
      </c>
    </row>
    <row r="3" spans="1:18" ht="15.75" thickBot="1" x14ac:dyDescent="0.3">
      <c r="A3" t="s">
        <v>168</v>
      </c>
      <c r="B3" t="s">
        <v>296</v>
      </c>
      <c r="C3" t="s">
        <v>300</v>
      </c>
      <c r="D3">
        <v>1</v>
      </c>
      <c r="E3" t="s">
        <v>167</v>
      </c>
      <c r="F3">
        <v>4</v>
      </c>
      <c r="G3" s="2">
        <v>0.6</v>
      </c>
      <c r="H3" s="7">
        <v>43957</v>
      </c>
      <c r="I3" t="s">
        <v>206</v>
      </c>
      <c r="L3" s="21">
        <f>(SUMPRODUCT(tProducts[Cantidad],tProducts[Precio]))*1.115</f>
        <v>147.91589999999997</v>
      </c>
      <c r="N3" s="21" cm="1">
        <f t="array" ref="N3">SUMPRODUCT(--(tVentas[Pagó]="Sí"),tVentas[Cantidad],tVentas[Precio])</f>
        <v>324</v>
      </c>
      <c r="P3" s="21" cm="1">
        <f t="array" ref="P3">SUMPRODUCT(--(tVentas[Pagó]="No"),tVentas[Cantidad],tVentas[Precio])</f>
        <v>153</v>
      </c>
      <c r="R3" s="21" cm="1">
        <f t="array" ref="R3">SUMIF(PrecioVenta,0,rngCantidadVentas)*3</f>
        <v>102</v>
      </c>
    </row>
    <row r="4" spans="1:18" ht="15.75" thickTop="1" x14ac:dyDescent="0.25">
      <c r="A4" t="s">
        <v>8</v>
      </c>
      <c r="B4" t="s">
        <v>296</v>
      </c>
      <c r="C4" t="s">
        <v>8</v>
      </c>
      <c r="D4">
        <v>2</v>
      </c>
      <c r="E4" t="s">
        <v>167</v>
      </c>
      <c r="F4">
        <v>4</v>
      </c>
      <c r="G4" s="2">
        <v>0.6</v>
      </c>
      <c r="H4" s="7">
        <v>43957</v>
      </c>
      <c r="I4" t="s">
        <v>206</v>
      </c>
    </row>
    <row r="5" spans="1:18" x14ac:dyDescent="0.25">
      <c r="A5" t="s">
        <v>9</v>
      </c>
      <c r="B5" t="s">
        <v>296</v>
      </c>
      <c r="C5" t="s">
        <v>9</v>
      </c>
      <c r="D5">
        <v>2</v>
      </c>
      <c r="E5" t="s">
        <v>167</v>
      </c>
      <c r="F5">
        <v>3</v>
      </c>
      <c r="G5" s="2">
        <v>0.45</v>
      </c>
      <c r="H5" s="7">
        <v>43957</v>
      </c>
      <c r="I5" t="s">
        <v>206</v>
      </c>
      <c r="N5" s="22"/>
    </row>
    <row r="6" spans="1:18" ht="15.75" x14ac:dyDescent="0.25">
      <c r="A6" t="s">
        <v>169</v>
      </c>
      <c r="B6" t="s">
        <v>297</v>
      </c>
      <c r="C6" t="s">
        <v>9</v>
      </c>
      <c r="D6">
        <v>1</v>
      </c>
      <c r="E6" t="s">
        <v>172</v>
      </c>
      <c r="F6">
        <v>1</v>
      </c>
      <c r="G6" s="2">
        <v>2.99</v>
      </c>
      <c r="H6" s="7">
        <v>43957</v>
      </c>
      <c r="I6" t="s">
        <v>206</v>
      </c>
      <c r="L6" s="19" t="s">
        <v>224</v>
      </c>
      <c r="N6" s="26">
        <f>N3-L3</f>
        <v>176.08410000000003</v>
      </c>
      <c r="O6" s="25" t="s">
        <v>258</v>
      </c>
      <c r="P6" s="24" t="s">
        <v>259</v>
      </c>
    </row>
    <row r="7" spans="1:18" ht="15.75" x14ac:dyDescent="0.25">
      <c r="A7" t="s">
        <v>170</v>
      </c>
      <c r="B7" t="s">
        <v>297</v>
      </c>
      <c r="C7" t="s">
        <v>17</v>
      </c>
      <c r="D7">
        <v>1</v>
      </c>
      <c r="E7" t="s">
        <v>172</v>
      </c>
      <c r="F7">
        <v>1</v>
      </c>
      <c r="G7" s="2">
        <v>2.99</v>
      </c>
      <c r="H7" s="7">
        <v>43957</v>
      </c>
      <c r="I7" t="s">
        <v>206</v>
      </c>
      <c r="L7" s="18">
        <v>43969</v>
      </c>
      <c r="N7" s="26">
        <f>N6+P3</f>
        <v>329.08410000000003</v>
      </c>
      <c r="O7" s="25" t="s">
        <v>258</v>
      </c>
      <c r="P7" s="24" t="s">
        <v>260</v>
      </c>
    </row>
    <row r="8" spans="1:18" ht="15.75" thickBot="1" x14ac:dyDescent="0.3">
      <c r="A8" t="s">
        <v>171</v>
      </c>
      <c r="B8" t="s">
        <v>297</v>
      </c>
      <c r="C8" t="s">
        <v>16</v>
      </c>
      <c r="D8">
        <v>1</v>
      </c>
      <c r="E8" t="s">
        <v>172</v>
      </c>
      <c r="F8">
        <v>1</v>
      </c>
      <c r="G8" s="2">
        <v>2.99</v>
      </c>
      <c r="H8" s="7">
        <v>43957</v>
      </c>
      <c r="I8" t="s">
        <v>206</v>
      </c>
      <c r="L8" s="21" cm="1">
        <f t="array" ref="L8">(SUMPRODUCT(--(tProducts[Fecha]=L7),tProducts[Cantidad],tProducts[Precio]))*1.115</f>
        <v>69.564850000000021</v>
      </c>
    </row>
    <row r="9" spans="1:18" ht="15.75" thickTop="1" x14ac:dyDescent="0.25">
      <c r="A9" t="s">
        <v>173</v>
      </c>
      <c r="B9" t="s">
        <v>298</v>
      </c>
      <c r="C9" t="s">
        <v>298</v>
      </c>
      <c r="D9">
        <v>1</v>
      </c>
      <c r="E9" t="s">
        <v>174</v>
      </c>
      <c r="F9">
        <v>1</v>
      </c>
      <c r="G9" s="2">
        <v>1.79</v>
      </c>
      <c r="H9" s="7">
        <v>43957</v>
      </c>
      <c r="I9" t="s">
        <v>206</v>
      </c>
    </row>
    <row r="10" spans="1:18" x14ac:dyDescent="0.25">
      <c r="A10" t="s">
        <v>175</v>
      </c>
      <c r="B10" t="s">
        <v>298</v>
      </c>
      <c r="C10" t="s">
        <v>298</v>
      </c>
      <c r="D10">
        <v>1</v>
      </c>
      <c r="E10" t="s">
        <v>176</v>
      </c>
      <c r="F10">
        <v>1</v>
      </c>
      <c r="G10" s="2">
        <v>1.69</v>
      </c>
      <c r="H10" s="7">
        <v>43957</v>
      </c>
      <c r="I10" t="s">
        <v>206</v>
      </c>
    </row>
    <row r="11" spans="1:18" x14ac:dyDescent="0.25">
      <c r="A11" t="s">
        <v>177</v>
      </c>
      <c r="B11" t="s">
        <v>298</v>
      </c>
      <c r="C11" t="s">
        <v>298</v>
      </c>
      <c r="D11">
        <v>1</v>
      </c>
      <c r="E11" t="s">
        <v>167</v>
      </c>
      <c r="F11">
        <v>120</v>
      </c>
      <c r="G11" s="2">
        <v>2.4900000000000002</v>
      </c>
      <c r="H11" s="7">
        <v>43959</v>
      </c>
      <c r="I11" t="s">
        <v>206</v>
      </c>
      <c r="L11" s="19" t="s">
        <v>225</v>
      </c>
    </row>
    <row r="12" spans="1:18" x14ac:dyDescent="0.25">
      <c r="A12" t="s">
        <v>178</v>
      </c>
      <c r="B12" t="s">
        <v>297</v>
      </c>
      <c r="C12" t="s">
        <v>9</v>
      </c>
      <c r="D12">
        <v>2</v>
      </c>
      <c r="E12" t="s">
        <v>172</v>
      </c>
      <c r="F12">
        <v>2</v>
      </c>
      <c r="G12" s="2">
        <v>2.99</v>
      </c>
      <c r="H12" s="7">
        <v>43959</v>
      </c>
      <c r="I12" t="s">
        <v>206</v>
      </c>
      <c r="L12" s="18">
        <v>43969</v>
      </c>
    </row>
    <row r="13" spans="1:18" x14ac:dyDescent="0.25">
      <c r="A13" t="s">
        <v>179</v>
      </c>
      <c r="B13" t="s">
        <v>297</v>
      </c>
      <c r="C13" t="s">
        <v>9</v>
      </c>
      <c r="D13">
        <v>1</v>
      </c>
      <c r="E13" t="s">
        <v>172</v>
      </c>
      <c r="F13">
        <v>200</v>
      </c>
      <c r="G13" s="2">
        <v>0.99</v>
      </c>
      <c r="H13" s="7">
        <v>43959</v>
      </c>
      <c r="I13" t="s">
        <v>206</v>
      </c>
      <c r="L13" s="17" t="s">
        <v>206</v>
      </c>
    </row>
    <row r="14" spans="1:18" ht="15.75" thickBot="1" x14ac:dyDescent="0.3">
      <c r="A14" t="s">
        <v>180</v>
      </c>
      <c r="B14" t="s">
        <v>296</v>
      </c>
      <c r="C14" t="s">
        <v>301</v>
      </c>
      <c r="D14">
        <v>1</v>
      </c>
      <c r="E14" t="s">
        <v>167</v>
      </c>
      <c r="F14">
        <v>5</v>
      </c>
      <c r="G14" s="2">
        <v>0.6</v>
      </c>
      <c r="H14" s="7">
        <v>43959</v>
      </c>
      <c r="I14" t="s">
        <v>206</v>
      </c>
      <c r="L14" s="21" cm="1">
        <f t="array" ref="L14">(SUMPRODUCT(--(tProducts[Fecha]=L12),--(tProducts[lugar]=L13),tProducts[Cantidad],tProducts[Precio]))*1.115</f>
        <v>13.892900000000001</v>
      </c>
    </row>
    <row r="15" spans="1:18" ht="15.75" thickTop="1" x14ac:dyDescent="0.25">
      <c r="A15" t="s">
        <v>181</v>
      </c>
      <c r="B15" t="s">
        <v>296</v>
      </c>
      <c r="C15" t="s">
        <v>302</v>
      </c>
      <c r="D15">
        <v>5</v>
      </c>
      <c r="E15" t="s">
        <v>167</v>
      </c>
      <c r="F15">
        <v>4</v>
      </c>
      <c r="G15" s="2">
        <v>0.6</v>
      </c>
      <c r="H15" s="7">
        <v>43959</v>
      </c>
      <c r="I15" t="s">
        <v>206</v>
      </c>
    </row>
    <row r="16" spans="1:18" x14ac:dyDescent="0.25">
      <c r="A16" t="s">
        <v>182</v>
      </c>
      <c r="B16" t="s">
        <v>296</v>
      </c>
      <c r="C16" t="s">
        <v>9</v>
      </c>
      <c r="D16">
        <v>4</v>
      </c>
      <c r="E16" t="s">
        <v>167</v>
      </c>
      <c r="G16" s="2">
        <v>0.99</v>
      </c>
      <c r="H16" s="7">
        <v>43959</v>
      </c>
      <c r="I16" t="s">
        <v>206</v>
      </c>
    </row>
    <row r="17" spans="1:12" x14ac:dyDescent="0.25">
      <c r="A17" t="s">
        <v>175</v>
      </c>
      <c r="B17" t="s">
        <v>298</v>
      </c>
      <c r="C17" t="s">
        <v>298</v>
      </c>
      <c r="D17">
        <v>1</v>
      </c>
      <c r="E17" t="s">
        <v>176</v>
      </c>
      <c r="F17">
        <v>1</v>
      </c>
      <c r="G17" s="2">
        <v>1.69</v>
      </c>
      <c r="H17" s="7">
        <v>43959</v>
      </c>
      <c r="I17" t="s">
        <v>206</v>
      </c>
      <c r="L17" s="19" t="s">
        <v>226</v>
      </c>
    </row>
    <row r="18" spans="1:12" x14ac:dyDescent="0.25">
      <c r="A18" t="s">
        <v>208</v>
      </c>
      <c r="B18" t="s">
        <v>297</v>
      </c>
      <c r="C18" t="s">
        <v>303</v>
      </c>
      <c r="D18">
        <v>1</v>
      </c>
      <c r="E18" t="s">
        <v>172</v>
      </c>
      <c r="F18">
        <v>1</v>
      </c>
      <c r="G18" s="2">
        <v>2.99</v>
      </c>
      <c r="H18" s="7">
        <v>43966</v>
      </c>
      <c r="I18" t="s">
        <v>206</v>
      </c>
      <c r="L18" s="17" t="s">
        <v>206</v>
      </c>
    </row>
    <row r="19" spans="1:12" ht="15.75" thickBot="1" x14ac:dyDescent="0.3">
      <c r="A19" t="s">
        <v>207</v>
      </c>
      <c r="B19" t="s">
        <v>297</v>
      </c>
      <c r="C19" t="s">
        <v>7</v>
      </c>
      <c r="D19">
        <v>1</v>
      </c>
      <c r="E19" t="s">
        <v>172</v>
      </c>
      <c r="F19">
        <v>1</v>
      </c>
      <c r="G19" s="2">
        <v>2.99</v>
      </c>
      <c r="H19" s="7">
        <v>43966</v>
      </c>
      <c r="I19" t="s">
        <v>206</v>
      </c>
      <c r="L19" s="20" cm="1">
        <f t="array" ref="L19">(SUMPRODUCT(--(tProducts[lugar]=L18),tProducts[Cantidad],tProducts[Precio]))*1.115</f>
        <v>72.619950000000031</v>
      </c>
    </row>
    <row r="20" spans="1:12" ht="15.75" thickTop="1" x14ac:dyDescent="0.25">
      <c r="A20" t="s">
        <v>209</v>
      </c>
      <c r="B20" t="s">
        <v>297</v>
      </c>
      <c r="C20" t="s">
        <v>234</v>
      </c>
      <c r="D20">
        <v>1</v>
      </c>
      <c r="E20" t="s">
        <v>172</v>
      </c>
      <c r="F20">
        <v>1</v>
      </c>
      <c r="G20" s="2">
        <v>2.99</v>
      </c>
      <c r="H20" s="7">
        <v>43966</v>
      </c>
      <c r="I20" t="s">
        <v>206</v>
      </c>
    </row>
    <row r="21" spans="1:12" x14ac:dyDescent="0.25">
      <c r="A21" t="s">
        <v>210</v>
      </c>
      <c r="B21" t="s">
        <v>298</v>
      </c>
      <c r="C21" t="s">
        <v>298</v>
      </c>
      <c r="D21">
        <v>1</v>
      </c>
      <c r="E21" t="s">
        <v>167</v>
      </c>
      <c r="F21">
        <v>3</v>
      </c>
      <c r="G21" s="2">
        <v>0.99</v>
      </c>
      <c r="H21" s="7">
        <v>43966</v>
      </c>
      <c r="I21" t="s">
        <v>206</v>
      </c>
    </row>
    <row r="22" spans="1:12" x14ac:dyDescent="0.25">
      <c r="A22" t="s">
        <v>211</v>
      </c>
      <c r="B22" t="s">
        <v>296</v>
      </c>
      <c r="C22" t="s">
        <v>18</v>
      </c>
      <c r="D22">
        <v>4</v>
      </c>
      <c r="E22" t="s">
        <v>167</v>
      </c>
      <c r="F22">
        <v>3</v>
      </c>
      <c r="G22" s="2">
        <v>0.8</v>
      </c>
      <c r="H22" s="7">
        <v>43966</v>
      </c>
      <c r="I22" t="s">
        <v>206</v>
      </c>
    </row>
    <row r="23" spans="1:12" x14ac:dyDescent="0.25">
      <c r="A23" t="s">
        <v>212</v>
      </c>
      <c r="B23" t="s">
        <v>296</v>
      </c>
      <c r="C23" t="s">
        <v>17</v>
      </c>
      <c r="D23">
        <v>4</v>
      </c>
      <c r="E23" t="s">
        <v>167</v>
      </c>
      <c r="F23">
        <v>3</v>
      </c>
      <c r="G23" s="2">
        <v>0.9</v>
      </c>
      <c r="H23" s="7">
        <v>43966</v>
      </c>
      <c r="I23" t="s">
        <v>206</v>
      </c>
      <c r="L23" s="19" t="s">
        <v>309</v>
      </c>
    </row>
    <row r="24" spans="1:12" x14ac:dyDescent="0.25">
      <c r="A24" t="s">
        <v>213</v>
      </c>
      <c r="B24" t="s">
        <v>296</v>
      </c>
      <c r="C24" t="s">
        <v>304</v>
      </c>
      <c r="D24">
        <v>0</v>
      </c>
      <c r="E24" t="s">
        <v>167</v>
      </c>
      <c r="F24">
        <v>3</v>
      </c>
      <c r="G24" s="2">
        <v>0.8</v>
      </c>
      <c r="H24" s="7">
        <v>43966</v>
      </c>
      <c r="I24" t="s">
        <v>206</v>
      </c>
      <c r="L24" s="17" t="s">
        <v>298</v>
      </c>
    </row>
    <row r="25" spans="1:12" ht="15.75" thickBot="1" x14ac:dyDescent="0.3">
      <c r="A25" t="s">
        <v>214</v>
      </c>
      <c r="B25" t="s">
        <v>296</v>
      </c>
      <c r="C25" t="s">
        <v>9</v>
      </c>
      <c r="D25">
        <v>1</v>
      </c>
      <c r="E25" t="s">
        <v>167</v>
      </c>
      <c r="F25">
        <v>3</v>
      </c>
      <c r="G25" s="2">
        <v>0.45</v>
      </c>
      <c r="H25" s="7">
        <v>43966</v>
      </c>
      <c r="I25" t="s">
        <v>206</v>
      </c>
      <c r="L25" s="20" cm="1">
        <f t="array" ref="L25">(SUMPRODUCT(--(tProducts[Tipo]=L24),tProducts[Cantidad],tProducts[Precio]))*1.115</f>
        <v>12.421100000000001</v>
      </c>
    </row>
    <row r="26" spans="1:12" ht="15.75" thickTop="1" x14ac:dyDescent="0.25">
      <c r="A26" t="s">
        <v>215</v>
      </c>
      <c r="B26" t="s">
        <v>296</v>
      </c>
      <c r="C26" t="s">
        <v>9</v>
      </c>
      <c r="D26">
        <v>2</v>
      </c>
      <c r="E26" t="s">
        <v>167</v>
      </c>
      <c r="F26">
        <v>3</v>
      </c>
      <c r="G26" s="2">
        <v>0.6</v>
      </c>
      <c r="H26" s="7">
        <v>43966</v>
      </c>
      <c r="I26" t="s">
        <v>164</v>
      </c>
    </row>
    <row r="27" spans="1:12" x14ac:dyDescent="0.25">
      <c r="A27" t="s">
        <v>216</v>
      </c>
      <c r="B27" t="s">
        <v>296</v>
      </c>
      <c r="C27" t="s">
        <v>8</v>
      </c>
      <c r="D27">
        <v>3</v>
      </c>
      <c r="E27" t="s">
        <v>167</v>
      </c>
      <c r="F27">
        <v>4</v>
      </c>
      <c r="G27" s="2">
        <v>0.6</v>
      </c>
      <c r="H27" s="7">
        <v>43966</v>
      </c>
      <c r="I27" t="s">
        <v>164</v>
      </c>
    </row>
    <row r="28" spans="1:12" x14ac:dyDescent="0.25">
      <c r="A28" t="s">
        <v>217</v>
      </c>
      <c r="B28" t="s">
        <v>296</v>
      </c>
      <c r="C28" t="s">
        <v>303</v>
      </c>
      <c r="D28">
        <v>3</v>
      </c>
      <c r="E28" t="s">
        <v>167</v>
      </c>
      <c r="F28">
        <v>3</v>
      </c>
      <c r="G28" s="2">
        <v>0.8</v>
      </c>
      <c r="H28" s="7">
        <v>43966</v>
      </c>
      <c r="I28" t="s">
        <v>164</v>
      </c>
    </row>
    <row r="29" spans="1:12" x14ac:dyDescent="0.25">
      <c r="A29" t="s">
        <v>221</v>
      </c>
      <c r="B29" t="s">
        <v>296</v>
      </c>
      <c r="C29" t="s">
        <v>9</v>
      </c>
      <c r="D29">
        <v>7</v>
      </c>
      <c r="E29" t="s">
        <v>167</v>
      </c>
      <c r="F29">
        <v>4</v>
      </c>
      <c r="G29" s="2">
        <v>0.6</v>
      </c>
      <c r="H29" s="7">
        <v>43966</v>
      </c>
      <c r="I29" t="s">
        <v>164</v>
      </c>
    </row>
    <row r="30" spans="1:12" x14ac:dyDescent="0.25">
      <c r="A30" t="s">
        <v>218</v>
      </c>
      <c r="B30" t="s">
        <v>296</v>
      </c>
      <c r="C30" t="s">
        <v>304</v>
      </c>
      <c r="D30">
        <v>2</v>
      </c>
      <c r="E30" t="s">
        <v>167</v>
      </c>
      <c r="F30">
        <v>3</v>
      </c>
      <c r="G30" s="2">
        <v>0.8</v>
      </c>
      <c r="H30" s="7">
        <v>43966</v>
      </c>
      <c r="I30" t="s">
        <v>164</v>
      </c>
    </row>
    <row r="31" spans="1:12" x14ac:dyDescent="0.25">
      <c r="A31" t="s">
        <v>219</v>
      </c>
      <c r="B31" t="s">
        <v>296</v>
      </c>
      <c r="C31" t="s">
        <v>7</v>
      </c>
      <c r="D31">
        <v>2</v>
      </c>
      <c r="E31" t="s">
        <v>167</v>
      </c>
      <c r="F31">
        <v>3</v>
      </c>
      <c r="G31" s="2">
        <v>0.8</v>
      </c>
      <c r="H31" s="7">
        <v>43966</v>
      </c>
      <c r="I31" t="s">
        <v>164</v>
      </c>
    </row>
    <row r="32" spans="1:12" x14ac:dyDescent="0.25">
      <c r="A32" t="s">
        <v>220</v>
      </c>
      <c r="B32" t="s">
        <v>296</v>
      </c>
      <c r="C32" t="s">
        <v>302</v>
      </c>
      <c r="D32">
        <v>2</v>
      </c>
      <c r="E32" t="s">
        <v>167</v>
      </c>
      <c r="F32">
        <v>3</v>
      </c>
      <c r="G32" s="2">
        <v>0.8</v>
      </c>
      <c r="H32" s="7">
        <v>43966</v>
      </c>
      <c r="I32" t="s">
        <v>164</v>
      </c>
    </row>
    <row r="33" spans="1:9" x14ac:dyDescent="0.25">
      <c r="A33" t="s">
        <v>222</v>
      </c>
      <c r="B33" t="s">
        <v>296</v>
      </c>
      <c r="C33" t="s">
        <v>9</v>
      </c>
      <c r="D33">
        <v>2</v>
      </c>
      <c r="E33" t="s">
        <v>167</v>
      </c>
      <c r="F33">
        <v>3</v>
      </c>
      <c r="G33" s="2">
        <v>0.8</v>
      </c>
      <c r="H33" s="7">
        <v>43966</v>
      </c>
      <c r="I33" t="s">
        <v>164</v>
      </c>
    </row>
    <row r="34" spans="1:9" x14ac:dyDescent="0.25">
      <c r="A34" t="s">
        <v>223</v>
      </c>
      <c r="B34" t="s">
        <v>296</v>
      </c>
      <c r="C34" t="s">
        <v>305</v>
      </c>
      <c r="D34">
        <v>2</v>
      </c>
      <c r="E34" t="s">
        <v>167</v>
      </c>
      <c r="F34">
        <v>3</v>
      </c>
      <c r="G34" s="2">
        <v>0.8</v>
      </c>
      <c r="H34" s="7">
        <v>43966</v>
      </c>
      <c r="I34" t="s">
        <v>164</v>
      </c>
    </row>
    <row r="35" spans="1:9" x14ac:dyDescent="0.25">
      <c r="A35" t="s">
        <v>220</v>
      </c>
      <c r="B35" t="s">
        <v>296</v>
      </c>
      <c r="C35" t="s">
        <v>302</v>
      </c>
      <c r="D35">
        <v>4</v>
      </c>
      <c r="E35" t="s">
        <v>167</v>
      </c>
      <c r="F35">
        <v>3</v>
      </c>
      <c r="G35" s="2">
        <v>0.8</v>
      </c>
      <c r="H35" s="7">
        <v>43969</v>
      </c>
      <c r="I35" t="s">
        <v>164</v>
      </c>
    </row>
    <row r="36" spans="1:9" x14ac:dyDescent="0.25">
      <c r="A36" t="s">
        <v>237</v>
      </c>
      <c r="B36" t="s">
        <v>296</v>
      </c>
      <c r="C36" t="s">
        <v>9</v>
      </c>
      <c r="D36">
        <v>2</v>
      </c>
      <c r="E36" t="s">
        <v>167</v>
      </c>
      <c r="F36">
        <v>4</v>
      </c>
      <c r="G36" s="2">
        <v>1.2</v>
      </c>
      <c r="H36" s="7">
        <v>43969</v>
      </c>
      <c r="I36" t="s">
        <v>164</v>
      </c>
    </row>
    <row r="37" spans="1:9" x14ac:dyDescent="0.25">
      <c r="A37" t="s">
        <v>215</v>
      </c>
      <c r="B37" t="s">
        <v>296</v>
      </c>
      <c r="C37" t="s">
        <v>9</v>
      </c>
      <c r="D37">
        <v>3</v>
      </c>
      <c r="E37" t="s">
        <v>167</v>
      </c>
      <c r="F37">
        <v>3</v>
      </c>
      <c r="G37" s="2">
        <v>0.6</v>
      </c>
      <c r="H37" s="7">
        <v>43969</v>
      </c>
      <c r="I37" t="s">
        <v>164</v>
      </c>
    </row>
    <row r="38" spans="1:9" x14ac:dyDescent="0.25">
      <c r="A38" t="s">
        <v>236</v>
      </c>
      <c r="B38" t="s">
        <v>296</v>
      </c>
      <c r="C38" t="s">
        <v>15</v>
      </c>
      <c r="D38">
        <v>2</v>
      </c>
      <c r="E38" t="s">
        <v>167</v>
      </c>
      <c r="F38">
        <v>3</v>
      </c>
      <c r="G38" s="2">
        <v>0.8</v>
      </c>
      <c r="H38" s="7">
        <v>43969</v>
      </c>
      <c r="I38" t="s">
        <v>164</v>
      </c>
    </row>
    <row r="39" spans="1:9" x14ac:dyDescent="0.25">
      <c r="A39" t="s">
        <v>216</v>
      </c>
      <c r="B39" t="s">
        <v>296</v>
      </c>
      <c r="C39" t="s">
        <v>8</v>
      </c>
      <c r="D39">
        <v>2</v>
      </c>
      <c r="E39" t="s">
        <v>167</v>
      </c>
      <c r="F39">
        <v>4</v>
      </c>
      <c r="G39" s="2">
        <v>0.6</v>
      </c>
      <c r="H39" s="7">
        <v>43969</v>
      </c>
      <c r="I39" t="s">
        <v>164</v>
      </c>
    </row>
    <row r="40" spans="1:9" x14ac:dyDescent="0.25">
      <c r="A40" t="s">
        <v>238</v>
      </c>
      <c r="B40" t="s">
        <v>296</v>
      </c>
      <c r="C40" t="s">
        <v>9</v>
      </c>
      <c r="D40">
        <v>3</v>
      </c>
      <c r="E40" t="s">
        <v>167</v>
      </c>
      <c r="F40">
        <v>4</v>
      </c>
      <c r="G40" s="2">
        <v>1.2</v>
      </c>
      <c r="H40" s="7">
        <v>43969</v>
      </c>
      <c r="I40" t="s">
        <v>164</v>
      </c>
    </row>
    <row r="41" spans="1:9" x14ac:dyDescent="0.25">
      <c r="A41" t="s">
        <v>239</v>
      </c>
      <c r="B41" t="s">
        <v>296</v>
      </c>
      <c r="C41" t="s">
        <v>204</v>
      </c>
      <c r="D41">
        <v>6</v>
      </c>
      <c r="E41" t="s">
        <v>167</v>
      </c>
      <c r="F41">
        <v>4</v>
      </c>
      <c r="G41" s="2">
        <v>0.6</v>
      </c>
      <c r="H41" s="7">
        <v>43969</v>
      </c>
      <c r="I41" t="s">
        <v>164</v>
      </c>
    </row>
    <row r="42" spans="1:9" x14ac:dyDescent="0.25">
      <c r="A42" t="s">
        <v>240</v>
      </c>
      <c r="B42" t="s">
        <v>296</v>
      </c>
      <c r="C42" t="s">
        <v>257</v>
      </c>
      <c r="D42">
        <v>6</v>
      </c>
      <c r="E42" t="s">
        <v>167</v>
      </c>
      <c r="F42">
        <v>3</v>
      </c>
      <c r="G42" s="2">
        <v>0.8</v>
      </c>
      <c r="H42" s="7">
        <v>43969</v>
      </c>
      <c r="I42" t="s">
        <v>164</v>
      </c>
    </row>
    <row r="43" spans="1:9" x14ac:dyDescent="0.25">
      <c r="A43" t="s">
        <v>241</v>
      </c>
      <c r="B43" t="s">
        <v>296</v>
      </c>
      <c r="C43" t="s">
        <v>306</v>
      </c>
      <c r="D43">
        <v>2</v>
      </c>
      <c r="E43" t="s">
        <v>167</v>
      </c>
      <c r="F43">
        <v>4</v>
      </c>
      <c r="G43" s="2">
        <v>0.6</v>
      </c>
      <c r="H43" s="7">
        <v>43969</v>
      </c>
      <c r="I43" t="s">
        <v>164</v>
      </c>
    </row>
    <row r="44" spans="1:9" x14ac:dyDescent="0.25">
      <c r="A44" t="s">
        <v>242</v>
      </c>
      <c r="B44" t="s">
        <v>296</v>
      </c>
      <c r="C44" t="s">
        <v>307</v>
      </c>
      <c r="D44">
        <v>2</v>
      </c>
      <c r="E44" t="s">
        <v>167</v>
      </c>
      <c r="F44">
        <v>3</v>
      </c>
      <c r="G44" s="2">
        <v>0.8</v>
      </c>
      <c r="H44" s="7">
        <v>43969</v>
      </c>
      <c r="I44" t="s">
        <v>164</v>
      </c>
    </row>
    <row r="45" spans="1:9" x14ac:dyDescent="0.25">
      <c r="A45" t="s">
        <v>169</v>
      </c>
      <c r="B45" t="s">
        <v>297</v>
      </c>
      <c r="C45" t="s">
        <v>9</v>
      </c>
      <c r="D45">
        <v>3</v>
      </c>
      <c r="E45" t="s">
        <v>172</v>
      </c>
      <c r="F45">
        <v>1</v>
      </c>
      <c r="G45" s="2">
        <v>2.99</v>
      </c>
      <c r="H45" s="7">
        <v>43969</v>
      </c>
      <c r="I45" t="s">
        <v>164</v>
      </c>
    </row>
    <row r="46" spans="1:9" x14ac:dyDescent="0.25">
      <c r="A46" t="s">
        <v>243</v>
      </c>
      <c r="B46" t="s">
        <v>297</v>
      </c>
      <c r="C46" t="s">
        <v>16</v>
      </c>
      <c r="D46">
        <v>2</v>
      </c>
      <c r="E46" t="s">
        <v>172</v>
      </c>
      <c r="F46">
        <v>1</v>
      </c>
      <c r="G46" s="2">
        <v>2.99</v>
      </c>
      <c r="H46" s="7">
        <v>43969</v>
      </c>
      <c r="I46" t="s">
        <v>164</v>
      </c>
    </row>
    <row r="47" spans="1:9" x14ac:dyDescent="0.25">
      <c r="A47" t="s">
        <v>244</v>
      </c>
      <c r="B47" t="s">
        <v>297</v>
      </c>
      <c r="C47" t="s">
        <v>308</v>
      </c>
      <c r="D47">
        <v>1</v>
      </c>
      <c r="E47" t="s">
        <v>172</v>
      </c>
      <c r="F47">
        <v>1</v>
      </c>
      <c r="G47" s="2">
        <v>2.99</v>
      </c>
      <c r="H47" s="7">
        <v>43969</v>
      </c>
      <c r="I47" t="s">
        <v>164</v>
      </c>
    </row>
    <row r="48" spans="1:9" x14ac:dyDescent="0.25">
      <c r="A48" t="s">
        <v>245</v>
      </c>
      <c r="B48" t="s">
        <v>297</v>
      </c>
      <c r="C48" t="s">
        <v>304</v>
      </c>
      <c r="D48">
        <v>1</v>
      </c>
      <c r="E48" t="s">
        <v>172</v>
      </c>
      <c r="F48">
        <v>1</v>
      </c>
      <c r="G48" s="2">
        <v>2.99</v>
      </c>
      <c r="H48" s="7">
        <v>43969</v>
      </c>
      <c r="I48" t="s">
        <v>164</v>
      </c>
    </row>
    <row r="49" spans="1:9" x14ac:dyDescent="0.25">
      <c r="A49" t="s">
        <v>246</v>
      </c>
      <c r="B49" t="s">
        <v>297</v>
      </c>
      <c r="C49" t="s">
        <v>8</v>
      </c>
      <c r="D49">
        <v>1</v>
      </c>
      <c r="E49" t="s">
        <v>172</v>
      </c>
      <c r="F49">
        <v>1</v>
      </c>
      <c r="G49" s="2">
        <v>1.2</v>
      </c>
      <c r="H49" s="7">
        <v>43969</v>
      </c>
      <c r="I49" t="s">
        <v>164</v>
      </c>
    </row>
    <row r="50" spans="1:9" x14ac:dyDescent="0.25">
      <c r="A50" t="s">
        <v>247</v>
      </c>
      <c r="B50" t="s">
        <v>296</v>
      </c>
      <c r="C50" t="s">
        <v>299</v>
      </c>
      <c r="D50">
        <v>2</v>
      </c>
      <c r="E50" t="s">
        <v>167</v>
      </c>
      <c r="F50">
        <v>5</v>
      </c>
      <c r="G50" s="2">
        <v>0.6</v>
      </c>
      <c r="H50" s="7">
        <v>43969</v>
      </c>
      <c r="I50" t="s">
        <v>164</v>
      </c>
    </row>
    <row r="51" spans="1:9" x14ac:dyDescent="0.25">
      <c r="A51" t="s">
        <v>248</v>
      </c>
      <c r="B51" t="s">
        <v>296</v>
      </c>
      <c r="C51" t="s">
        <v>16</v>
      </c>
      <c r="D51">
        <v>2</v>
      </c>
      <c r="E51" t="s">
        <v>167</v>
      </c>
      <c r="F51">
        <v>3</v>
      </c>
      <c r="G51" s="2">
        <v>0.8</v>
      </c>
      <c r="H51" s="7">
        <v>43969</v>
      </c>
      <c r="I51" t="s">
        <v>164</v>
      </c>
    </row>
    <row r="52" spans="1:9" x14ac:dyDescent="0.25">
      <c r="A52" t="s">
        <v>249</v>
      </c>
      <c r="B52" t="s">
        <v>297</v>
      </c>
      <c r="C52" t="s">
        <v>257</v>
      </c>
      <c r="D52">
        <v>1</v>
      </c>
      <c r="E52" t="s">
        <v>172</v>
      </c>
      <c r="F52">
        <v>1</v>
      </c>
      <c r="G52" s="2">
        <v>2.99</v>
      </c>
      <c r="H52" s="7">
        <v>43969</v>
      </c>
      <c r="I52" t="s">
        <v>206</v>
      </c>
    </row>
    <row r="53" spans="1:9" x14ac:dyDescent="0.25">
      <c r="A53" t="s">
        <v>250</v>
      </c>
      <c r="B53" t="s">
        <v>298</v>
      </c>
      <c r="C53" t="s">
        <v>298</v>
      </c>
      <c r="D53">
        <v>1</v>
      </c>
      <c r="E53" t="s">
        <v>167</v>
      </c>
      <c r="F53">
        <v>120</v>
      </c>
      <c r="G53" s="2">
        <v>2.4900000000000002</v>
      </c>
      <c r="H53" s="7">
        <v>43969</v>
      </c>
      <c r="I53" t="s">
        <v>206</v>
      </c>
    </row>
    <row r="54" spans="1:9" x14ac:dyDescent="0.25">
      <c r="A54" t="s">
        <v>251</v>
      </c>
      <c r="B54" t="s">
        <v>296</v>
      </c>
      <c r="C54" t="s">
        <v>9</v>
      </c>
      <c r="D54">
        <v>4</v>
      </c>
      <c r="E54" t="s">
        <v>167</v>
      </c>
      <c r="F54">
        <v>3</v>
      </c>
      <c r="G54" s="2">
        <v>0.7</v>
      </c>
      <c r="H54" s="7">
        <v>43969</v>
      </c>
      <c r="I54" t="s">
        <v>206</v>
      </c>
    </row>
    <row r="55" spans="1:9" x14ac:dyDescent="0.25">
      <c r="A55" t="s">
        <v>253</v>
      </c>
      <c r="B55" t="s">
        <v>296</v>
      </c>
      <c r="C55" t="s">
        <v>9</v>
      </c>
      <c r="D55">
        <v>2</v>
      </c>
      <c r="E55" t="s">
        <v>167</v>
      </c>
      <c r="F55">
        <v>3</v>
      </c>
      <c r="G55" s="2">
        <v>0.7</v>
      </c>
      <c r="H55" s="7">
        <v>43969</v>
      </c>
      <c r="I55" t="s">
        <v>206</v>
      </c>
    </row>
    <row r="56" spans="1:9" x14ac:dyDescent="0.25">
      <c r="A56" t="s">
        <v>252</v>
      </c>
      <c r="B56" t="s">
        <v>296</v>
      </c>
      <c r="C56" t="s">
        <v>9</v>
      </c>
      <c r="D56">
        <v>2</v>
      </c>
      <c r="E56" t="s">
        <v>167</v>
      </c>
      <c r="F56">
        <v>3</v>
      </c>
      <c r="G56" s="2">
        <v>0.6</v>
      </c>
      <c r="H56" s="7">
        <v>43969</v>
      </c>
      <c r="I56" t="s">
        <v>206</v>
      </c>
    </row>
    <row r="57" spans="1:9" x14ac:dyDescent="0.25">
      <c r="A57" t="s">
        <v>254</v>
      </c>
      <c r="B57" t="s">
        <v>296</v>
      </c>
      <c r="C57" t="s">
        <v>234</v>
      </c>
      <c r="D57">
        <v>2</v>
      </c>
      <c r="E57" t="s">
        <v>167</v>
      </c>
      <c r="F57">
        <v>3</v>
      </c>
      <c r="G57" s="2">
        <v>0.79</v>
      </c>
      <c r="H57" s="7">
        <v>43969</v>
      </c>
      <c r="I57" t="s">
        <v>206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5F0E0-DACE-4E56-8588-D272B1BD9145}">
  <dimension ref="A1:B3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142</v>
      </c>
      <c r="B1" t="s">
        <v>143</v>
      </c>
    </row>
    <row r="2" spans="1:2" x14ac:dyDescent="0.25">
      <c r="A2">
        <f>ROW(A1)</f>
        <v>1</v>
      </c>
      <c r="B2" t="s">
        <v>144</v>
      </c>
    </row>
    <row r="3" spans="1:2" x14ac:dyDescent="0.25">
      <c r="A3">
        <f>ROW(A2)</f>
        <v>2</v>
      </c>
      <c r="B3" t="s">
        <v>145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7DFE-5639-4F4F-8570-FD6CA91F6F33}">
  <sheetPr codeName="Sheet2"/>
  <dimension ref="A1:B5"/>
  <sheetViews>
    <sheetView workbookViewId="0">
      <selection activeCell="I8" sqref="I8"/>
    </sheetView>
  </sheetViews>
  <sheetFormatPr defaultRowHeight="15" x14ac:dyDescent="0.25"/>
  <cols>
    <col min="1" max="1" width="17.85546875" customWidth="1"/>
    <col min="2" max="2" width="20.42578125" customWidth="1"/>
  </cols>
  <sheetData>
    <row r="1" spans="1:2" x14ac:dyDescent="0.25">
      <c r="A1" t="s">
        <v>1</v>
      </c>
      <c r="B1" t="s">
        <v>26</v>
      </c>
    </row>
    <row r="2" spans="1:2" x14ac:dyDescent="0.25">
      <c r="A2" t="s">
        <v>2</v>
      </c>
      <c r="B2">
        <v>1</v>
      </c>
    </row>
    <row r="3" spans="1:2" x14ac:dyDescent="0.25">
      <c r="A3" t="s">
        <v>3</v>
      </c>
      <c r="B3">
        <v>2</v>
      </c>
    </row>
    <row r="4" spans="1:2" x14ac:dyDescent="0.25">
      <c r="A4" t="s">
        <v>4</v>
      </c>
      <c r="B4">
        <v>3</v>
      </c>
    </row>
    <row r="5" spans="1:2" x14ac:dyDescent="0.25">
      <c r="A5" t="s">
        <v>5</v>
      </c>
      <c r="B5">
        <v>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A9DA0-6FEE-4F4D-9AE4-07A3D92E538A}">
  <sheetPr codeName="Sheet3"/>
  <dimension ref="A1:B21"/>
  <sheetViews>
    <sheetView workbookViewId="0">
      <selection activeCell="B21" sqref="B21"/>
    </sheetView>
  </sheetViews>
  <sheetFormatPr defaultRowHeight="15" x14ac:dyDescent="0.25"/>
  <cols>
    <col min="1" max="1" width="19.7109375" customWidth="1"/>
    <col min="2" max="2" width="19.85546875" customWidth="1"/>
  </cols>
  <sheetData>
    <row r="1" spans="1:2" x14ac:dyDescent="0.25">
      <c r="A1" t="s">
        <v>6</v>
      </c>
      <c r="B1" t="s">
        <v>25</v>
      </c>
    </row>
    <row r="2" spans="1:2" x14ac:dyDescent="0.25">
      <c r="A2" t="s">
        <v>16</v>
      </c>
      <c r="B2">
        <f>ROW(A1)</f>
        <v>1</v>
      </c>
    </row>
    <row r="3" spans="1:2" x14ac:dyDescent="0.25">
      <c r="A3" t="s">
        <v>7</v>
      </c>
      <c r="B3">
        <f t="shared" ref="B3:B16" si="0">ROW(A2)</f>
        <v>2</v>
      </c>
    </row>
    <row r="4" spans="1:2" x14ac:dyDescent="0.25">
      <c r="A4" t="s">
        <v>17</v>
      </c>
      <c r="B4">
        <f t="shared" si="0"/>
        <v>3</v>
      </c>
    </row>
    <row r="5" spans="1:2" x14ac:dyDescent="0.25">
      <c r="A5" t="s">
        <v>8</v>
      </c>
      <c r="B5">
        <f t="shared" si="0"/>
        <v>4</v>
      </c>
    </row>
    <row r="6" spans="1:2" x14ac:dyDescent="0.25">
      <c r="A6" t="s">
        <v>9</v>
      </c>
      <c r="B6">
        <f t="shared" si="0"/>
        <v>5</v>
      </c>
    </row>
    <row r="7" spans="1:2" x14ac:dyDescent="0.25">
      <c r="A7" t="s">
        <v>15</v>
      </c>
      <c r="B7">
        <f t="shared" si="0"/>
        <v>6</v>
      </c>
    </row>
    <row r="8" spans="1:2" x14ac:dyDescent="0.25">
      <c r="A8" t="s">
        <v>10</v>
      </c>
      <c r="B8">
        <f t="shared" si="0"/>
        <v>7</v>
      </c>
    </row>
    <row r="9" spans="1:2" x14ac:dyDescent="0.25">
      <c r="A9" t="s">
        <v>11</v>
      </c>
      <c r="B9">
        <f t="shared" si="0"/>
        <v>8</v>
      </c>
    </row>
    <row r="10" spans="1:2" x14ac:dyDescent="0.25">
      <c r="A10" t="s">
        <v>12</v>
      </c>
      <c r="B10">
        <f t="shared" si="0"/>
        <v>9</v>
      </c>
    </row>
    <row r="11" spans="1:2" x14ac:dyDescent="0.25">
      <c r="A11" t="s">
        <v>13</v>
      </c>
      <c r="B11">
        <f t="shared" si="0"/>
        <v>10</v>
      </c>
    </row>
    <row r="12" spans="1:2" x14ac:dyDescent="0.25">
      <c r="A12" t="s">
        <v>14</v>
      </c>
      <c r="B12">
        <f t="shared" si="0"/>
        <v>11</v>
      </c>
    </row>
    <row r="13" spans="1:2" x14ac:dyDescent="0.25">
      <c r="A13" t="s">
        <v>18</v>
      </c>
      <c r="B13">
        <f t="shared" si="0"/>
        <v>12</v>
      </c>
    </row>
    <row r="14" spans="1:2" x14ac:dyDescent="0.25">
      <c r="A14" t="s">
        <v>133</v>
      </c>
      <c r="B14">
        <f t="shared" si="0"/>
        <v>13</v>
      </c>
    </row>
    <row r="15" spans="1:2" x14ac:dyDescent="0.25">
      <c r="A15" t="s">
        <v>134</v>
      </c>
      <c r="B15">
        <f t="shared" si="0"/>
        <v>14</v>
      </c>
    </row>
    <row r="16" spans="1:2" x14ac:dyDescent="0.25">
      <c r="A16" t="s">
        <v>191</v>
      </c>
      <c r="B16">
        <f t="shared" si="0"/>
        <v>15</v>
      </c>
    </row>
    <row r="17" spans="1:2" x14ac:dyDescent="0.25">
      <c r="A17" t="s">
        <v>204</v>
      </c>
      <c r="B17">
        <f>ROW(A16)</f>
        <v>16</v>
      </c>
    </row>
    <row r="18" spans="1:2" x14ac:dyDescent="0.25">
      <c r="A18" t="s">
        <v>234</v>
      </c>
      <c r="B18">
        <f>ROW(A17)</f>
        <v>17</v>
      </c>
    </row>
    <row r="19" spans="1:2" x14ac:dyDescent="0.25">
      <c r="A19" t="s">
        <v>235</v>
      </c>
      <c r="B19">
        <f>ROW(A18)</f>
        <v>18</v>
      </c>
    </row>
    <row r="20" spans="1:2" x14ac:dyDescent="0.25">
      <c r="A20" t="s">
        <v>256</v>
      </c>
      <c r="B20">
        <f>ROW(A19)</f>
        <v>19</v>
      </c>
    </row>
    <row r="21" spans="1:2" x14ac:dyDescent="0.25">
      <c r="A21" t="s">
        <v>257</v>
      </c>
      <c r="B21">
        <f>ROW(A20)</f>
        <v>20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63D8-D21C-4ECB-BE7E-DCBB1A10821F}">
  <dimension ref="A1:H39"/>
  <sheetViews>
    <sheetView workbookViewId="0">
      <selection activeCell="A18" sqref="A18"/>
    </sheetView>
  </sheetViews>
  <sheetFormatPr defaultRowHeight="15" x14ac:dyDescent="0.25"/>
  <cols>
    <col min="1" max="1" width="17.42578125" bestFit="1" customWidth="1"/>
    <col min="2" max="4" width="16" customWidth="1"/>
    <col min="6" max="6" width="13.140625" bestFit="1" customWidth="1"/>
    <col min="8" max="8" width="12.42578125" customWidth="1"/>
  </cols>
  <sheetData>
    <row r="1" spans="1:8" x14ac:dyDescent="0.25">
      <c r="A1" t="s">
        <v>6</v>
      </c>
      <c r="B1" t="s">
        <v>135</v>
      </c>
      <c r="C1" t="s">
        <v>136</v>
      </c>
      <c r="D1" t="s">
        <v>137</v>
      </c>
      <c r="F1" t="s">
        <v>138</v>
      </c>
      <c r="G1" t="s">
        <v>136</v>
      </c>
      <c r="H1" t="s">
        <v>137</v>
      </c>
    </row>
    <row r="2" spans="1:8" x14ac:dyDescent="0.25">
      <c r="A2" t="str">
        <f>Colores!A2</f>
        <v>Azúl Navy</v>
      </c>
      <c r="B2" cm="1">
        <f t="array" ref="B2">SUMIF(rngColorVentas,A2,rngCantidadVentas)</f>
        <v>21</v>
      </c>
      <c r="C2">
        <f>SUMIFS(tVentas[Cantidad],tVentas[Color],A2,tVentas[Terminado],"Sí")</f>
        <v>18</v>
      </c>
      <c r="D2" cm="1">
        <f t="array" ref="D2">SUMIFS(rngCantidadVentas,tVentas[Color],A2,tVentas[Entregado],"Sí")</f>
        <v>18</v>
      </c>
      <c r="F2">
        <f>SUM(tGraph1[Pedidas])</f>
        <v>175</v>
      </c>
      <c r="G2">
        <f>SUMIFS(tVentas[Cantidad],tVentas[Terminado],"Sí")</f>
        <v>162</v>
      </c>
      <c r="H2">
        <f>SUMIFS(tVentas[Cantidad],tVentas[Entregado],"Sí")</f>
        <v>161</v>
      </c>
    </row>
    <row r="3" spans="1:8" x14ac:dyDescent="0.25">
      <c r="A3" t="str">
        <f>Colores!A3</f>
        <v>Azúl Claro</v>
      </c>
      <c r="B3" cm="1">
        <f t="array" ref="B3">SUMIF(rngColorVentas,A3,rngCantidadVentas)</f>
        <v>10</v>
      </c>
      <c r="C3">
        <f>SUMIFS(tVentas[Cantidad],tVentas[Color],A3,tVentas[Terminado],"Sí")</f>
        <v>10</v>
      </c>
      <c r="D3" cm="1">
        <f t="array" ref="D3">SUMIFS(rngCantidadVentas,tVentas[Color],A3,tVentas[Entregado],"Sí")</f>
        <v>10</v>
      </c>
    </row>
    <row r="4" spans="1:8" x14ac:dyDescent="0.25">
      <c r="A4" t="str">
        <f>Colores!A4</f>
        <v>Rojo</v>
      </c>
      <c r="B4" cm="1">
        <f t="array" ref="B4">SUMIF(rngColorVentas,A4,rngCantidadVentas)</f>
        <v>7</v>
      </c>
      <c r="C4">
        <f>SUMIFS(tVentas[Cantidad],tVentas[Color],A4,tVentas[Terminado],"Sí")</f>
        <v>7</v>
      </c>
      <c r="D4" cm="1">
        <f t="array" ref="D4">SUMIFS(rngCantidadVentas,tVentas[Color],A4,tVentas[Entregado],"Sí")</f>
        <v>7</v>
      </c>
    </row>
    <row r="5" spans="1:8" x14ac:dyDescent="0.25">
      <c r="A5" t="str">
        <f>Colores!A5</f>
        <v>Blanco</v>
      </c>
      <c r="B5" cm="1">
        <f t="array" ref="B5">SUMIF(rngColorVentas,A5,rngCantidadVentas)</f>
        <v>8</v>
      </c>
      <c r="C5">
        <f>SUMIFS(tVentas[Cantidad],tVentas[Color],A5,tVentas[Terminado],"Sí")</f>
        <v>7</v>
      </c>
      <c r="D5" cm="1">
        <f t="array" ref="D5">SUMIFS(rngCantidadVentas,tVentas[Color],A5,tVentas[Entregado],"Sí")</f>
        <v>7</v>
      </c>
    </row>
    <row r="6" spans="1:8" x14ac:dyDescent="0.25">
      <c r="A6" t="str">
        <f>Colores!A6</f>
        <v>Negro</v>
      </c>
      <c r="B6" cm="1">
        <f t="array" ref="B6">SUMIF(rngColorVentas,A6,rngCantidadVentas)</f>
        <v>88</v>
      </c>
      <c r="C6">
        <f>SUMIFS(tVentas[Cantidad],tVentas[Color],A6,tVentas[Terminado],"Sí")</f>
        <v>75</v>
      </c>
      <c r="D6" cm="1">
        <f t="array" ref="D6">SUMIFS(rngCantidadVentas,tVentas[Color],A6,tVentas[Entregado],"Sí")</f>
        <v>75</v>
      </c>
    </row>
    <row r="7" spans="1:8" x14ac:dyDescent="0.25">
      <c r="A7" t="str">
        <f>Colores!A7</f>
        <v>Crema</v>
      </c>
      <c r="B7" cm="1">
        <f t="array" ref="B7">SUMIF(rngColorVentas,A7,rngCantidadVentas)</f>
        <v>12</v>
      </c>
      <c r="C7">
        <f>SUMIFS(tVentas[Cantidad],tVentas[Color],A7,tVentas[Terminado],"Sí")</f>
        <v>11</v>
      </c>
      <c r="D7" cm="1">
        <f t="array" ref="D7">SUMIFS(rngCantidadVentas,tVentas[Color],A7,tVentas[Entregado],"Sí")</f>
        <v>11</v>
      </c>
    </row>
    <row r="8" spans="1:8" x14ac:dyDescent="0.25">
      <c r="A8" t="str">
        <f>Colores!A8</f>
        <v>Fuscia</v>
      </c>
      <c r="B8" cm="1">
        <f t="array" ref="B8">SUMIF(rngColorVentas,A8,rngCantidadVentas)</f>
        <v>14</v>
      </c>
      <c r="C8">
        <f>SUMIFS(tVentas[Cantidad],tVentas[Color],A8,tVentas[Terminado],"Sí")</f>
        <v>12</v>
      </c>
      <c r="D8" cm="1">
        <f t="array" ref="D8">SUMIFS(rngCantidadVentas,tVentas[Color],A8,tVentas[Entregado],"Sí")</f>
        <v>12</v>
      </c>
    </row>
    <row r="9" spans="1:8" x14ac:dyDescent="0.25">
      <c r="A9" t="str">
        <f>Colores!A9</f>
        <v>Rosa Claro</v>
      </c>
      <c r="B9" cm="1">
        <f t="array" ref="B9">SUMIF(rngColorVentas,A9,rngCantidadVentas)</f>
        <v>4</v>
      </c>
      <c r="C9">
        <f>SUMIFS(tVentas[Cantidad],tVentas[Color],A9,tVentas[Terminado],"Sí")</f>
        <v>3</v>
      </c>
      <c r="D9" cm="1">
        <f t="array" ref="D9">SUMIFS(rngCantidadVentas,tVentas[Color],A9,tVentas[Entregado],"Sí")</f>
        <v>3</v>
      </c>
    </row>
    <row r="10" spans="1:8" x14ac:dyDescent="0.25">
      <c r="A10" t="str">
        <f>Colores!A10</f>
        <v>Amarillo Pálido</v>
      </c>
      <c r="B10" cm="1">
        <f t="array" ref="B10">SUMIF(rngColorVentas,A10,rngCantidadVentas)</f>
        <v>0</v>
      </c>
      <c r="C10">
        <f>SUMIFS(tVentas[Cantidad],tVentas[Color],A10,tVentas[Terminado],"Sí")</f>
        <v>0</v>
      </c>
      <c r="D10" cm="1">
        <f t="array" ref="D10">SUMIFS(rngCantidadVentas,tVentas[Color],A10,tVentas[Entregado],"Sí")</f>
        <v>0</v>
      </c>
    </row>
    <row r="11" spans="1:8" x14ac:dyDescent="0.25">
      <c r="A11" t="str">
        <f>Colores!A11</f>
        <v>Amarillo Chillón</v>
      </c>
      <c r="B11" cm="1">
        <f t="array" ref="B11">SUMIF(rngColorVentas,A11,rngCantidadVentas)</f>
        <v>0</v>
      </c>
      <c r="C11">
        <f>SUMIFS(tVentas[Cantidad],tVentas[Color],A11,tVentas[Terminado],"Sí")</f>
        <v>0</v>
      </c>
      <c r="D11" cm="1">
        <f t="array" ref="D11">SUMIFS(rngCantidadVentas,tVentas[Color],A11,tVentas[Entregado],"Sí")</f>
        <v>0</v>
      </c>
    </row>
    <row r="12" spans="1:8" x14ac:dyDescent="0.25">
      <c r="A12" t="str">
        <f>Colores!A12</f>
        <v>Amarillo Matizado</v>
      </c>
      <c r="B12" cm="1">
        <f t="array" ref="B12">SUMIF(rngColorVentas,A12,rngCantidadVentas)</f>
        <v>4</v>
      </c>
      <c r="C12">
        <f>SUMIFS(tVentas[Cantidad],tVentas[Color],A12,tVentas[Terminado],"Sí")</f>
        <v>4</v>
      </c>
      <c r="D12" cm="1">
        <f t="array" ref="D12">SUMIFS(rngCantidadVentas,tVentas[Color],A12,tVentas[Entregado],"Sí")</f>
        <v>4</v>
      </c>
    </row>
    <row r="13" spans="1:8" x14ac:dyDescent="0.25">
      <c r="A13" t="str">
        <f>Colores!A13</f>
        <v>Violeta</v>
      </c>
      <c r="B13" cm="1">
        <f t="array" ref="B13">SUMIF(rngColorVentas,A13,rngCantidadVentas)</f>
        <v>3</v>
      </c>
      <c r="C13">
        <f>SUMIFS(tVentas[Cantidad],tVentas[Color],A13,tVentas[Terminado],"Sí")</f>
        <v>3</v>
      </c>
      <c r="D13" cm="1">
        <f t="array" ref="D13">SUMIFS(rngCantidadVentas,tVentas[Color],A13,tVentas[Entregado],"Sí")</f>
        <v>3</v>
      </c>
    </row>
    <row r="14" spans="1:8" x14ac:dyDescent="0.25">
      <c r="A14" t="str">
        <f>Colores!A14</f>
        <v>Dos Colores</v>
      </c>
      <c r="B14" cm="1">
        <f t="array" ref="B14">SUMIF(rngColorVentas,A14,rngCantidadVentas)</f>
        <v>4</v>
      </c>
      <c r="C14">
        <f>SUMIFS(tVentas[Cantidad],tVentas[Color],A14,tVentas[Terminado],"Sí")</f>
        <v>4</v>
      </c>
      <c r="D14" cm="1">
        <f t="array" ref="D14">SUMIFS(rngCantidadVentas,tVentas[Color],A14,tVentas[Entregado],"Sí")</f>
        <v>3</v>
      </c>
    </row>
    <row r="15" spans="1:8" x14ac:dyDescent="0.25">
      <c r="A15" t="str">
        <f>Colores!A15</f>
        <v>Tres Colores</v>
      </c>
      <c r="B15" cm="1">
        <f t="array" ref="B15">SUMIF(rngColorVentas,A15,rngCantidadVentas)</f>
        <v>0</v>
      </c>
      <c r="C15">
        <f>SUMIFS(tVentas[Cantidad],tVentas[Color],A15,tVentas[Terminado],"Sí")</f>
        <v>0</v>
      </c>
      <c r="D15" cm="1">
        <f t="array" ref="D15">SUMIFS(rngCantidadVentas,tVentas[Color],A15,tVentas[Entregado],"Sí")</f>
        <v>0</v>
      </c>
    </row>
    <row r="17" spans="1:2" x14ac:dyDescent="0.25">
      <c r="A17" t="s">
        <v>155</v>
      </c>
      <c r="B17" t="s">
        <v>165</v>
      </c>
    </row>
    <row r="18" spans="1:2" ht="18.75" x14ac:dyDescent="0.3">
      <c r="A18" s="8">
        <f>SUMPRODUCT(tVentas[Precio],tVentas[Cantidad])</f>
        <v>477</v>
      </c>
    </row>
    <row r="39" spans="1:1" ht="18.75" x14ac:dyDescent="0.3">
      <c r="A39" s="8"/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59976-1DCC-4183-A577-EDE9733A1DBD}">
  <dimension ref="A1:I4"/>
  <sheetViews>
    <sheetView workbookViewId="0">
      <selection activeCell="M11" sqref="M11"/>
    </sheetView>
  </sheetViews>
  <sheetFormatPr defaultRowHeight="15" x14ac:dyDescent="0.25"/>
  <cols>
    <col min="1" max="1" width="19.85546875" customWidth="1"/>
    <col min="2" max="2" width="18.140625" customWidth="1"/>
    <col min="3" max="3" width="20.140625" customWidth="1"/>
    <col min="4" max="4" width="14" customWidth="1"/>
    <col min="8" max="8" width="14.5703125" customWidth="1"/>
    <col min="9" max="9" width="17.140625" customWidth="1"/>
  </cols>
  <sheetData>
    <row r="1" spans="1:9" x14ac:dyDescent="0.25">
      <c r="A1" t="s">
        <v>156</v>
      </c>
      <c r="B1" t="s">
        <v>157</v>
      </c>
      <c r="C1" t="s">
        <v>159</v>
      </c>
      <c r="D1" t="s">
        <v>158</v>
      </c>
      <c r="H1" t="s">
        <v>162</v>
      </c>
      <c r="I1" t="s">
        <v>160</v>
      </c>
    </row>
    <row r="2" spans="1:9" x14ac:dyDescent="0.25">
      <c r="A2">
        <f>ROW(A1)</f>
        <v>1</v>
      </c>
      <c r="B2" s="7">
        <f>DATE(2020,5,8)</f>
        <v>43959</v>
      </c>
      <c r="C2" t="str">
        <f t="shared" ref="C2:C3" si="0">IF(C1="WhereExpenditure","Mundo Telas")</f>
        <v>Mundo Telas</v>
      </c>
      <c r="H2">
        <f>ROW(A1)</f>
        <v>1</v>
      </c>
      <c r="I2" t="s">
        <v>163</v>
      </c>
    </row>
    <row r="3" spans="1:9" x14ac:dyDescent="0.25">
      <c r="A3">
        <f>ROW(A2)</f>
        <v>2</v>
      </c>
      <c r="B3" s="7">
        <f>DATE(2020,5,8)</f>
        <v>43959</v>
      </c>
      <c r="C3" t="b">
        <f t="shared" si="0"/>
        <v>0</v>
      </c>
      <c r="H3">
        <f>ROW(A2)</f>
        <v>2</v>
      </c>
      <c r="I3" t="s">
        <v>164</v>
      </c>
    </row>
    <row r="4" spans="1:9" x14ac:dyDescent="0.25">
      <c r="H4">
        <f>ROW(A3)</f>
        <v>3</v>
      </c>
      <c r="I4" t="s">
        <v>161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18F65-1568-4E9D-A673-9453E5891102}">
  <sheetPr codeName="Sheet4"/>
  <dimension ref="A1:B3"/>
  <sheetViews>
    <sheetView workbookViewId="0">
      <selection activeCell="B1" sqref="B1:B3"/>
    </sheetView>
  </sheetViews>
  <sheetFormatPr defaultRowHeight="15" x14ac:dyDescent="0.25"/>
  <cols>
    <col min="1" max="1" width="13.28515625" customWidth="1"/>
  </cols>
  <sheetData>
    <row r="1" spans="1:2" x14ac:dyDescent="0.25">
      <c r="A1" t="s">
        <v>32</v>
      </c>
      <c r="B1" t="s">
        <v>28</v>
      </c>
    </row>
    <row r="2" spans="1:2" x14ac:dyDescent="0.25">
      <c r="A2">
        <v>1</v>
      </c>
      <c r="B2" s="2">
        <v>3</v>
      </c>
    </row>
    <row r="3" spans="1:2" x14ac:dyDescent="0.25">
      <c r="A3">
        <v>2</v>
      </c>
      <c r="B3" s="2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E9A-0320-4F43-8F44-620C4F97D7E6}">
  <sheetPr codeName="Sheet6"/>
  <dimension ref="A1:B80"/>
  <sheetViews>
    <sheetView topLeftCell="A80" workbookViewId="0">
      <selection activeCell="B80" sqref="B80"/>
    </sheetView>
  </sheetViews>
  <sheetFormatPr defaultRowHeight="18.75" customHeight="1" x14ac:dyDescent="0.25"/>
  <cols>
    <col min="1" max="1" width="14.5703125" customWidth="1"/>
    <col min="2" max="2" width="15.85546875" customWidth="1"/>
  </cols>
  <sheetData>
    <row r="1" spans="1:2" ht="18.75" customHeight="1" x14ac:dyDescent="0.25">
      <c r="A1" t="s">
        <v>126</v>
      </c>
      <c r="B1" t="s">
        <v>36</v>
      </c>
    </row>
    <row r="2" spans="1:2" ht="18.75" customHeight="1" x14ac:dyDescent="0.25">
      <c r="A2">
        <f>ROW(A1)</f>
        <v>1</v>
      </c>
      <c r="B2" s="4" t="s">
        <v>48</v>
      </c>
    </row>
    <row r="3" spans="1:2" ht="18.75" customHeight="1" x14ac:dyDescent="0.25">
      <c r="A3">
        <f t="shared" ref="A3:A66" si="0">ROW(A2)</f>
        <v>2</v>
      </c>
      <c r="B3" s="4" t="s">
        <v>49</v>
      </c>
    </row>
    <row r="4" spans="1:2" ht="18.75" customHeight="1" x14ac:dyDescent="0.25">
      <c r="A4">
        <f t="shared" si="0"/>
        <v>3</v>
      </c>
      <c r="B4" s="4" t="s">
        <v>50</v>
      </c>
    </row>
    <row r="5" spans="1:2" ht="18.75" customHeight="1" x14ac:dyDescent="0.25">
      <c r="A5">
        <f t="shared" si="0"/>
        <v>4</v>
      </c>
      <c r="B5" s="4" t="s">
        <v>51</v>
      </c>
    </row>
    <row r="6" spans="1:2" ht="18.75" customHeight="1" x14ac:dyDescent="0.25">
      <c r="A6">
        <f t="shared" si="0"/>
        <v>5</v>
      </c>
      <c r="B6" s="4" t="s">
        <v>52</v>
      </c>
    </row>
    <row r="7" spans="1:2" ht="18.75" customHeight="1" x14ac:dyDescent="0.25">
      <c r="A7">
        <f t="shared" si="0"/>
        <v>6</v>
      </c>
      <c r="B7" s="4" t="s">
        <v>53</v>
      </c>
    </row>
    <row r="8" spans="1:2" ht="18.75" customHeight="1" x14ac:dyDescent="0.25">
      <c r="A8">
        <f t="shared" si="0"/>
        <v>7</v>
      </c>
      <c r="B8" s="4" t="s">
        <v>54</v>
      </c>
    </row>
    <row r="9" spans="1:2" ht="18.75" customHeight="1" x14ac:dyDescent="0.25">
      <c r="A9">
        <f t="shared" si="0"/>
        <v>8</v>
      </c>
      <c r="B9" s="4" t="s">
        <v>55</v>
      </c>
    </row>
    <row r="10" spans="1:2" ht="18.75" customHeight="1" x14ac:dyDescent="0.25">
      <c r="A10">
        <f t="shared" si="0"/>
        <v>9</v>
      </c>
      <c r="B10" s="4" t="s">
        <v>56</v>
      </c>
    </row>
    <row r="11" spans="1:2" ht="18.75" customHeight="1" x14ac:dyDescent="0.25">
      <c r="A11">
        <f t="shared" si="0"/>
        <v>10</v>
      </c>
      <c r="B11" s="4" t="s">
        <v>57</v>
      </c>
    </row>
    <row r="12" spans="1:2" ht="18.75" customHeight="1" x14ac:dyDescent="0.25">
      <c r="A12">
        <f t="shared" si="0"/>
        <v>11</v>
      </c>
      <c r="B12" s="4" t="s">
        <v>58</v>
      </c>
    </row>
    <row r="13" spans="1:2" ht="18.75" customHeight="1" x14ac:dyDescent="0.25">
      <c r="A13">
        <f t="shared" si="0"/>
        <v>12</v>
      </c>
      <c r="B13" s="4" t="s">
        <v>59</v>
      </c>
    </row>
    <row r="14" spans="1:2" ht="18.75" customHeight="1" x14ac:dyDescent="0.25">
      <c r="A14">
        <f t="shared" si="0"/>
        <v>13</v>
      </c>
      <c r="B14" s="4" t="s">
        <v>60</v>
      </c>
    </row>
    <row r="15" spans="1:2" ht="18.75" customHeight="1" x14ac:dyDescent="0.25">
      <c r="A15">
        <f t="shared" si="0"/>
        <v>14</v>
      </c>
      <c r="B15" s="4" t="s">
        <v>61</v>
      </c>
    </row>
    <row r="16" spans="1:2" ht="18.75" customHeight="1" x14ac:dyDescent="0.25">
      <c r="A16">
        <f t="shared" si="0"/>
        <v>15</v>
      </c>
      <c r="B16" s="4" t="s">
        <v>62</v>
      </c>
    </row>
    <row r="17" spans="1:2" ht="18.75" customHeight="1" x14ac:dyDescent="0.25">
      <c r="A17">
        <f t="shared" si="0"/>
        <v>16</v>
      </c>
      <c r="B17" s="4" t="s">
        <v>63</v>
      </c>
    </row>
    <row r="18" spans="1:2" ht="18.75" customHeight="1" x14ac:dyDescent="0.25">
      <c r="A18">
        <f t="shared" si="0"/>
        <v>17</v>
      </c>
      <c r="B18" s="4" t="s">
        <v>64</v>
      </c>
    </row>
    <row r="19" spans="1:2" ht="18.75" customHeight="1" x14ac:dyDescent="0.25">
      <c r="A19">
        <f t="shared" si="0"/>
        <v>18</v>
      </c>
      <c r="B19" s="4" t="s">
        <v>65</v>
      </c>
    </row>
    <row r="20" spans="1:2" ht="18.75" customHeight="1" x14ac:dyDescent="0.25">
      <c r="A20">
        <f t="shared" si="0"/>
        <v>19</v>
      </c>
      <c r="B20" s="4" t="s">
        <v>66</v>
      </c>
    </row>
    <row r="21" spans="1:2" ht="18.75" customHeight="1" x14ac:dyDescent="0.25">
      <c r="A21">
        <f t="shared" si="0"/>
        <v>20</v>
      </c>
      <c r="B21" s="4" t="s">
        <v>67</v>
      </c>
    </row>
    <row r="22" spans="1:2" ht="18.75" customHeight="1" x14ac:dyDescent="0.25">
      <c r="A22">
        <f t="shared" si="0"/>
        <v>21</v>
      </c>
      <c r="B22" s="4" t="s">
        <v>68</v>
      </c>
    </row>
    <row r="23" spans="1:2" ht="18.75" customHeight="1" x14ac:dyDescent="0.25">
      <c r="A23">
        <f t="shared" si="0"/>
        <v>22</v>
      </c>
      <c r="B23" s="4" t="s">
        <v>69</v>
      </c>
    </row>
    <row r="24" spans="1:2" ht="18.75" customHeight="1" x14ac:dyDescent="0.25">
      <c r="A24">
        <f t="shared" si="0"/>
        <v>23</v>
      </c>
      <c r="B24" s="4" t="s">
        <v>70</v>
      </c>
    </row>
    <row r="25" spans="1:2" ht="18.75" customHeight="1" x14ac:dyDescent="0.25">
      <c r="A25">
        <f t="shared" si="0"/>
        <v>24</v>
      </c>
      <c r="B25" s="4" t="s">
        <v>71</v>
      </c>
    </row>
    <row r="26" spans="1:2" ht="18.75" customHeight="1" x14ac:dyDescent="0.25">
      <c r="A26">
        <f t="shared" si="0"/>
        <v>25</v>
      </c>
      <c r="B26" s="4" t="s">
        <v>72</v>
      </c>
    </row>
    <row r="27" spans="1:2" ht="18.75" customHeight="1" x14ac:dyDescent="0.25">
      <c r="A27">
        <f t="shared" si="0"/>
        <v>26</v>
      </c>
      <c r="B27" s="4" t="s">
        <v>73</v>
      </c>
    </row>
    <row r="28" spans="1:2" ht="18.75" customHeight="1" x14ac:dyDescent="0.25">
      <c r="A28">
        <f t="shared" si="0"/>
        <v>27</v>
      </c>
      <c r="B28" s="4" t="s">
        <v>74</v>
      </c>
    </row>
    <row r="29" spans="1:2" ht="18.75" customHeight="1" x14ac:dyDescent="0.25">
      <c r="A29">
        <f t="shared" si="0"/>
        <v>28</v>
      </c>
      <c r="B29" s="4" t="s">
        <v>75</v>
      </c>
    </row>
    <row r="30" spans="1:2" ht="18.75" customHeight="1" x14ac:dyDescent="0.25">
      <c r="A30">
        <f t="shared" si="0"/>
        <v>29</v>
      </c>
      <c r="B30" s="4" t="s">
        <v>76</v>
      </c>
    </row>
    <row r="31" spans="1:2" ht="18.75" customHeight="1" x14ac:dyDescent="0.25">
      <c r="A31">
        <f t="shared" si="0"/>
        <v>30</v>
      </c>
      <c r="B31" s="4" t="s">
        <v>77</v>
      </c>
    </row>
    <row r="32" spans="1:2" ht="18.75" customHeight="1" x14ac:dyDescent="0.25">
      <c r="A32">
        <f t="shared" si="0"/>
        <v>31</v>
      </c>
      <c r="B32" s="4" t="s">
        <v>78</v>
      </c>
    </row>
    <row r="33" spans="1:2" ht="18.75" customHeight="1" x14ac:dyDescent="0.25">
      <c r="A33">
        <f t="shared" si="0"/>
        <v>32</v>
      </c>
      <c r="B33" s="4" t="s">
        <v>79</v>
      </c>
    </row>
    <row r="34" spans="1:2" ht="18.75" customHeight="1" x14ac:dyDescent="0.25">
      <c r="A34">
        <f t="shared" si="0"/>
        <v>33</v>
      </c>
      <c r="B34" s="4" t="s">
        <v>80</v>
      </c>
    </row>
    <row r="35" spans="1:2" ht="18.75" customHeight="1" x14ac:dyDescent="0.25">
      <c r="A35">
        <f t="shared" si="0"/>
        <v>34</v>
      </c>
      <c r="B35" s="4" t="s">
        <v>81</v>
      </c>
    </row>
    <row r="36" spans="1:2" ht="18.75" customHeight="1" x14ac:dyDescent="0.25">
      <c r="A36">
        <f t="shared" si="0"/>
        <v>35</v>
      </c>
      <c r="B36" s="4" t="s">
        <v>82</v>
      </c>
    </row>
    <row r="37" spans="1:2" ht="18.75" customHeight="1" x14ac:dyDescent="0.25">
      <c r="A37">
        <f t="shared" si="0"/>
        <v>36</v>
      </c>
      <c r="B37" s="4" t="s">
        <v>83</v>
      </c>
    </row>
    <row r="38" spans="1:2" ht="18.75" customHeight="1" x14ac:dyDescent="0.25">
      <c r="A38">
        <f t="shared" si="0"/>
        <v>37</v>
      </c>
      <c r="B38" s="4" t="s">
        <v>84</v>
      </c>
    </row>
    <row r="39" spans="1:2" ht="18.75" customHeight="1" x14ac:dyDescent="0.25">
      <c r="A39">
        <f t="shared" si="0"/>
        <v>38</v>
      </c>
      <c r="B39" s="4" t="s">
        <v>85</v>
      </c>
    </row>
    <row r="40" spans="1:2" ht="18.75" customHeight="1" x14ac:dyDescent="0.25">
      <c r="A40">
        <f t="shared" si="0"/>
        <v>39</v>
      </c>
      <c r="B40" s="4" t="s">
        <v>86</v>
      </c>
    </row>
    <row r="41" spans="1:2" ht="18.75" customHeight="1" x14ac:dyDescent="0.25">
      <c r="A41">
        <f t="shared" si="0"/>
        <v>40</v>
      </c>
      <c r="B41" s="4" t="s">
        <v>87</v>
      </c>
    </row>
    <row r="42" spans="1:2" ht="18.75" customHeight="1" x14ac:dyDescent="0.25">
      <c r="A42">
        <f t="shared" si="0"/>
        <v>41</v>
      </c>
      <c r="B42" s="4" t="s">
        <v>88</v>
      </c>
    </row>
    <row r="43" spans="1:2" ht="18.75" customHeight="1" x14ac:dyDescent="0.25">
      <c r="A43">
        <f t="shared" si="0"/>
        <v>42</v>
      </c>
      <c r="B43" s="4" t="s">
        <v>89</v>
      </c>
    </row>
    <row r="44" spans="1:2" ht="18.75" customHeight="1" x14ac:dyDescent="0.25">
      <c r="A44">
        <f t="shared" si="0"/>
        <v>43</v>
      </c>
      <c r="B44" s="4" t="s">
        <v>90</v>
      </c>
    </row>
    <row r="45" spans="1:2" ht="18.75" customHeight="1" x14ac:dyDescent="0.25">
      <c r="A45">
        <f t="shared" si="0"/>
        <v>44</v>
      </c>
      <c r="B45" s="4" t="s">
        <v>91</v>
      </c>
    </row>
    <row r="46" spans="1:2" ht="18.75" customHeight="1" x14ac:dyDescent="0.25">
      <c r="A46">
        <f t="shared" si="0"/>
        <v>45</v>
      </c>
      <c r="B46" s="4" t="s">
        <v>92</v>
      </c>
    </row>
    <row r="47" spans="1:2" ht="18.75" customHeight="1" x14ac:dyDescent="0.25">
      <c r="A47">
        <f t="shared" si="0"/>
        <v>46</v>
      </c>
      <c r="B47" s="4" t="s">
        <v>93</v>
      </c>
    </row>
    <row r="48" spans="1:2" ht="18.75" customHeight="1" x14ac:dyDescent="0.25">
      <c r="A48">
        <f t="shared" si="0"/>
        <v>47</v>
      </c>
      <c r="B48" s="4" t="s">
        <v>94</v>
      </c>
    </row>
    <row r="49" spans="1:2" ht="18.75" customHeight="1" x14ac:dyDescent="0.25">
      <c r="A49">
        <f t="shared" si="0"/>
        <v>48</v>
      </c>
      <c r="B49" s="4" t="s">
        <v>95</v>
      </c>
    </row>
    <row r="50" spans="1:2" ht="18.75" customHeight="1" x14ac:dyDescent="0.25">
      <c r="A50">
        <f t="shared" si="0"/>
        <v>49</v>
      </c>
      <c r="B50" s="4" t="s">
        <v>96</v>
      </c>
    </row>
    <row r="51" spans="1:2" ht="18.75" customHeight="1" x14ac:dyDescent="0.25">
      <c r="A51">
        <f t="shared" si="0"/>
        <v>50</v>
      </c>
      <c r="B51" s="4" t="s">
        <v>97</v>
      </c>
    </row>
    <row r="52" spans="1:2" ht="18.75" customHeight="1" x14ac:dyDescent="0.25">
      <c r="A52">
        <f t="shared" si="0"/>
        <v>51</v>
      </c>
      <c r="B52" s="4" t="s">
        <v>98</v>
      </c>
    </row>
    <row r="53" spans="1:2" ht="18.75" customHeight="1" x14ac:dyDescent="0.25">
      <c r="A53">
        <f t="shared" si="0"/>
        <v>52</v>
      </c>
      <c r="B53" s="4" t="s">
        <v>99</v>
      </c>
    </row>
    <row r="54" spans="1:2" ht="18.75" customHeight="1" x14ac:dyDescent="0.25">
      <c r="A54">
        <f t="shared" si="0"/>
        <v>53</v>
      </c>
      <c r="B54" s="4" t="s">
        <v>100</v>
      </c>
    </row>
    <row r="55" spans="1:2" ht="18.75" customHeight="1" x14ac:dyDescent="0.25">
      <c r="A55">
        <f t="shared" si="0"/>
        <v>54</v>
      </c>
      <c r="B55" s="4" t="s">
        <v>101</v>
      </c>
    </row>
    <row r="56" spans="1:2" ht="18.75" customHeight="1" x14ac:dyDescent="0.25">
      <c r="A56">
        <f t="shared" si="0"/>
        <v>55</v>
      </c>
      <c r="B56" s="4" t="s">
        <v>102</v>
      </c>
    </row>
    <row r="57" spans="1:2" ht="18.75" customHeight="1" x14ac:dyDescent="0.25">
      <c r="A57">
        <f t="shared" si="0"/>
        <v>56</v>
      </c>
      <c r="B57" s="4" t="s">
        <v>103</v>
      </c>
    </row>
    <row r="58" spans="1:2" ht="18.75" customHeight="1" x14ac:dyDescent="0.25">
      <c r="A58">
        <f t="shared" si="0"/>
        <v>57</v>
      </c>
      <c r="B58" s="4" t="s">
        <v>104</v>
      </c>
    </row>
    <row r="59" spans="1:2" ht="18.75" customHeight="1" x14ac:dyDescent="0.25">
      <c r="A59">
        <f t="shared" si="0"/>
        <v>58</v>
      </c>
      <c r="B59" s="4" t="s">
        <v>105</v>
      </c>
    </row>
    <row r="60" spans="1:2" ht="18.75" customHeight="1" x14ac:dyDescent="0.25">
      <c r="A60">
        <f t="shared" si="0"/>
        <v>59</v>
      </c>
      <c r="B60" s="4" t="s">
        <v>106</v>
      </c>
    </row>
    <row r="61" spans="1:2" ht="18.75" customHeight="1" x14ac:dyDescent="0.25">
      <c r="A61">
        <f t="shared" si="0"/>
        <v>60</v>
      </c>
      <c r="B61" s="4" t="s">
        <v>107</v>
      </c>
    </row>
    <row r="62" spans="1:2" ht="18.75" customHeight="1" x14ac:dyDescent="0.25">
      <c r="A62">
        <f t="shared" si="0"/>
        <v>61</v>
      </c>
      <c r="B62" s="4" t="s">
        <v>108</v>
      </c>
    </row>
    <row r="63" spans="1:2" ht="18.75" customHeight="1" x14ac:dyDescent="0.25">
      <c r="A63">
        <f t="shared" si="0"/>
        <v>62</v>
      </c>
      <c r="B63" s="4" t="s">
        <v>109</v>
      </c>
    </row>
    <row r="64" spans="1:2" ht="18.75" customHeight="1" x14ac:dyDescent="0.25">
      <c r="A64">
        <f t="shared" si="0"/>
        <v>63</v>
      </c>
      <c r="B64" s="4" t="s">
        <v>110</v>
      </c>
    </row>
    <row r="65" spans="1:2" ht="18.75" customHeight="1" x14ac:dyDescent="0.25">
      <c r="A65">
        <f t="shared" si="0"/>
        <v>64</v>
      </c>
      <c r="B65" s="4" t="s">
        <v>111</v>
      </c>
    </row>
    <row r="66" spans="1:2" ht="18.75" customHeight="1" x14ac:dyDescent="0.25">
      <c r="A66">
        <f t="shared" si="0"/>
        <v>65</v>
      </c>
      <c r="B66" s="4" t="s">
        <v>112</v>
      </c>
    </row>
    <row r="67" spans="1:2" ht="18.75" customHeight="1" x14ac:dyDescent="0.25">
      <c r="A67">
        <f t="shared" ref="A67:A80" si="1">ROW(A66)</f>
        <v>66</v>
      </c>
      <c r="B67" s="4" t="s">
        <v>113</v>
      </c>
    </row>
    <row r="68" spans="1:2" ht="18.75" customHeight="1" x14ac:dyDescent="0.25">
      <c r="A68">
        <f t="shared" si="1"/>
        <v>67</v>
      </c>
      <c r="B68" s="4" t="s">
        <v>114</v>
      </c>
    </row>
    <row r="69" spans="1:2" ht="18.75" customHeight="1" x14ac:dyDescent="0.25">
      <c r="A69">
        <f t="shared" si="1"/>
        <v>68</v>
      </c>
      <c r="B69" s="4" t="s">
        <v>115</v>
      </c>
    </row>
    <row r="70" spans="1:2" ht="18.75" customHeight="1" x14ac:dyDescent="0.25">
      <c r="A70">
        <f t="shared" si="1"/>
        <v>69</v>
      </c>
      <c r="B70" s="4" t="s">
        <v>116</v>
      </c>
    </row>
    <row r="71" spans="1:2" ht="18.75" customHeight="1" x14ac:dyDescent="0.25">
      <c r="A71">
        <f t="shared" si="1"/>
        <v>70</v>
      </c>
      <c r="B71" s="4" t="s">
        <v>117</v>
      </c>
    </row>
    <row r="72" spans="1:2" ht="18.75" customHeight="1" x14ac:dyDescent="0.25">
      <c r="A72">
        <f t="shared" si="1"/>
        <v>71</v>
      </c>
      <c r="B72" s="4" t="s">
        <v>118</v>
      </c>
    </row>
    <row r="73" spans="1:2" ht="18.75" customHeight="1" x14ac:dyDescent="0.25">
      <c r="A73">
        <f t="shared" si="1"/>
        <v>72</v>
      </c>
      <c r="B73" s="4" t="s">
        <v>119</v>
      </c>
    </row>
    <row r="74" spans="1:2" ht="18.75" customHeight="1" x14ac:dyDescent="0.25">
      <c r="A74">
        <f t="shared" si="1"/>
        <v>73</v>
      </c>
      <c r="B74" s="4" t="s">
        <v>120</v>
      </c>
    </row>
    <row r="75" spans="1:2" ht="18.75" customHeight="1" x14ac:dyDescent="0.25">
      <c r="A75">
        <f t="shared" si="1"/>
        <v>74</v>
      </c>
      <c r="B75" s="4" t="s">
        <v>121</v>
      </c>
    </row>
    <row r="76" spans="1:2" ht="18.75" customHeight="1" x14ac:dyDescent="0.25">
      <c r="A76">
        <f t="shared" si="1"/>
        <v>75</v>
      </c>
      <c r="B76" s="4" t="s">
        <v>122</v>
      </c>
    </row>
    <row r="77" spans="1:2" ht="18.75" customHeight="1" x14ac:dyDescent="0.25">
      <c r="A77">
        <f t="shared" si="1"/>
        <v>76</v>
      </c>
      <c r="B77" s="4" t="s">
        <v>123</v>
      </c>
    </row>
    <row r="78" spans="1:2" ht="18.75" customHeight="1" x14ac:dyDescent="0.25">
      <c r="A78">
        <f t="shared" si="1"/>
        <v>77</v>
      </c>
      <c r="B78" s="4" t="s">
        <v>124</v>
      </c>
    </row>
    <row r="79" spans="1:2" ht="18.75" customHeight="1" x14ac:dyDescent="0.25">
      <c r="A79">
        <f t="shared" si="1"/>
        <v>78</v>
      </c>
      <c r="B79" s="4" t="s">
        <v>125</v>
      </c>
    </row>
    <row r="80" spans="1:2" ht="18.75" customHeight="1" x14ac:dyDescent="0.25">
      <c r="A80">
        <f t="shared" si="1"/>
        <v>79</v>
      </c>
      <c r="B80" s="4" t="s">
        <v>194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E36F4-881F-42BA-B713-5A3B1B4C6EF4}">
  <dimension ref="A1:B3"/>
  <sheetViews>
    <sheetView workbookViewId="0">
      <selection activeCell="B2" sqref="B2:B3"/>
    </sheetView>
  </sheetViews>
  <sheetFormatPr defaultRowHeight="15" x14ac:dyDescent="0.25"/>
  <cols>
    <col min="1" max="1" width="10.5703125" customWidth="1"/>
  </cols>
  <sheetData>
    <row r="1" spans="1:2" x14ac:dyDescent="0.25">
      <c r="A1" t="s">
        <v>129</v>
      </c>
      <c r="B1" t="s">
        <v>130</v>
      </c>
    </row>
    <row r="2" spans="1:2" x14ac:dyDescent="0.25">
      <c r="A2">
        <v>1</v>
      </c>
      <c r="B2" t="s">
        <v>131</v>
      </c>
    </row>
    <row r="3" spans="1:2" x14ac:dyDescent="0.25">
      <c r="A3">
        <v>2</v>
      </c>
      <c r="B3" t="s">
        <v>132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Ventas</vt:lpstr>
      <vt:lpstr>Clientas</vt:lpstr>
      <vt:lpstr>EstadisticasClientas</vt:lpstr>
      <vt:lpstr>EstadisticasColores-x-Cliente</vt:lpstr>
      <vt:lpstr>Gastos-Compras</vt:lpstr>
      <vt:lpstr>Sex</vt:lpstr>
      <vt:lpstr>Costura</vt:lpstr>
      <vt:lpstr>Colores</vt:lpstr>
      <vt:lpstr>GraphicTest</vt:lpstr>
      <vt:lpstr>Ingresos-Gastos</vt:lpstr>
      <vt:lpstr>Precios</vt:lpstr>
      <vt:lpstr>Pueblos</vt:lpstr>
      <vt:lpstr>Si-no</vt:lpstr>
      <vt:lpstr>CantidadVenta</vt:lpstr>
      <vt:lpstr>PrecioVenta</vt:lpstr>
      <vt:lpstr>rngBol</vt:lpstr>
      <vt:lpstr>rngCantidadVentas</vt:lpstr>
      <vt:lpstr>rngColor</vt:lpstr>
      <vt:lpstr>rngColorVentas</vt:lpstr>
      <vt:lpstr>rngCostura</vt:lpstr>
      <vt:lpstr>rngEntregado</vt:lpstr>
      <vt:lpstr>rngNameClient</vt:lpstr>
      <vt:lpstr>rngPrecio</vt:lpstr>
      <vt:lpstr>rngPueblo</vt:lpstr>
      <vt:lpstr>rngSex</vt:lpstr>
      <vt:lpstr>rngTerminada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adriana.flores</dc:creator>
  <cp:lastModifiedBy>adriana.flores</cp:lastModifiedBy>
  <cp:lastPrinted>2020-05-15T15:41:24Z</cp:lastPrinted>
  <dcterms:created xsi:type="dcterms:W3CDTF">2020-05-08T11:53:25Z</dcterms:created>
  <dcterms:modified xsi:type="dcterms:W3CDTF">2020-05-19T16:18:17Z</dcterms:modified>
</cp:coreProperties>
</file>